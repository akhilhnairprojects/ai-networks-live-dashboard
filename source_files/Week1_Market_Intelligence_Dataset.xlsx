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ir\OneDrive\Desktop\"/>
    </mc:Choice>
  </mc:AlternateContent>
  <xr:revisionPtr revIDLastSave="0" documentId="13_ncr:1_{1EB15598-3976-4573-A554-E29BE4B583A4}" xr6:coauthVersionLast="47" xr6:coauthVersionMax="47" xr10:uidLastSave="{00000000-0000-0000-0000-000000000000}"/>
  <bookViews>
    <workbookView xWindow="-108" yWindow="-108" windowWidth="23256" windowHeight="12456" tabRatio="500" firstSheet="3" activeTab="3" xr2:uid="{00000000-000D-0000-FFFF-FFFF00000000}"/>
  </bookViews>
  <sheets>
    <sheet name="README" sheetId="1" r:id="rId1"/>
    <sheet name="Findings_Log" sheetId="2" r:id="rId2"/>
    <sheet name="Topic_Source_Heatmap" sheetId="3" r:id="rId3"/>
    <sheet name="Keyword_Frequency" sheetId="4" r:id="rId4"/>
    <sheet name="Vendor_Mentions" sheetId="5" r:id="rId5"/>
    <sheet name="Analyst_Predictions" sheetId="6" r:id="rId6"/>
    <sheet name="Top10_Trends" sheetId="7" r:id="rId7"/>
  </sheets>
  <definedNames>
    <definedName name="_xlnm._FilterDatabase" localSheetId="1" hidden="1">Findings_Log!$A$1:$O$36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5" l="1"/>
  <c r="C14" i="5"/>
  <c r="C13" i="5"/>
  <c r="C12" i="5"/>
  <c r="C11" i="5"/>
  <c r="C10" i="5"/>
  <c r="C9" i="5"/>
  <c r="C8" i="5"/>
  <c r="C7" i="5"/>
  <c r="C6" i="5"/>
  <c r="C5" i="5"/>
  <c r="C4" i="5"/>
  <c r="C3" i="5"/>
  <c r="C2" i="5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<sst xmlns="http://schemas.openxmlformats.org/spreadsheetml/2006/main" count="897" uniqueCount="441">
  <si>
    <t>Week 1 - AI-Ready Networks Market Intelligence</t>
  </si>
  <si>
    <t>Owner</t>
  </si>
  <si>
    <t>Akhil Hari Nair  |  Tata Communications (US-focused) internship</t>
  </si>
  <si>
    <t>Prepared</t>
  </si>
  <si>
    <t>2026-06-10  |  Draft dataset for the Week 1 dashboard</t>
  </si>
  <si>
    <t>Scope</t>
  </si>
  <si>
    <t>US / Americas market for AI-ready enterprise networking. All competitors treated as US players.</t>
  </si>
  <si>
    <t>!! CONFIDENTIALITY</t>
  </si>
  <si>
    <t>Treat this as internal Tata material. Build and SAVE LOCALLY in Tableau Desktop Public Edition (.twbx). Do NOT click 'Save to Tableau Public' - anything published there is public on the web and downloadable by anyone. Share with your supervisor via exported PDF/PNG images and the local .twbx (openable in free Tableau Reader).</t>
  </si>
  <si>
    <t>TABS</t>
  </si>
  <si>
    <t>Findings_Log</t>
  </si>
  <si>
    <t>Raw research log - 35 real, sourced, paraphrased findings to start. KEEP ADDING ROWS.</t>
  </si>
  <si>
    <t>Topic_Source_Heatmap</t>
  </si>
  <si>
    <t>Live COUNTIFS cross-tab (tidy) for the Page-2 heatmap.</t>
  </si>
  <si>
    <t>Keyword_Frequency</t>
  </si>
  <si>
    <t>Live keyword counts (substring match) for 'Top 10 keywords'.</t>
  </si>
  <si>
    <t>Vendor_Mentions</t>
  </si>
  <si>
    <t>Live vendor mention counts + positioning notes for Page 3.</t>
  </si>
  <si>
    <t>Analyst_Predictions</t>
  </si>
  <si>
    <t>Curated analyst predictions for the exec summary.</t>
  </si>
  <si>
    <t>Top10_Trends</t>
  </si>
  <si>
    <t>Curated top-10 market trends with evidence + Tata relevance.</t>
  </si>
  <si>
    <t>CONTROLLED VOCABULARY</t>
  </si>
  <si>
    <t>Source_Type</t>
  </si>
  <si>
    <t>Analyst Report | Market Research | Industry News | Vendor (Primary) | LinkedIn/Social (add)</t>
  </si>
  <si>
    <t>Topic</t>
  </si>
  <si>
    <t>Market Sizing &amp; Spend; AI Back-End / GPU Fabric; Ethernet vs NVLink (Scale-up); High-Speed Optics; Network Observability; AIOps / Autonomous Networks; NaaS / Cloud Connectivity; Private / Sovereign AI; Network Security (Zero-Trust); Power &amp; Sustainability; Adoption Barriers &amp; Skills; Competitive / M&amp;A; Vendor Product Launch</t>
  </si>
  <si>
    <t>Finding_Type</t>
  </si>
  <si>
    <t>Trend | Statistic | Prediction | Challenge | Priority | Announcement | Messaging</t>
  </si>
  <si>
    <t>Use the SAME spellings</t>
  </si>
  <si>
    <t>so the live counts and Tableau filters stay clean.</t>
  </si>
  <si>
    <t>LINKEDIN ROWS</t>
  </si>
  <si>
    <t>Not pre-filled (LinkedIn blocks automated collection and it's against ToS). Add a handful of rows manually from a sample of US CIO / infra-leader posts, tagging Source_Type = LinkedIn/Social.</t>
  </si>
  <si>
    <t>ON THE NUMBERS</t>
  </si>
  <si>
    <t>Findings_Log facts are real and sourced (see Source_URL). The heatmap/keyword/vendor counts are LIVE off your log, so early numbers are small and grow as you research. The email's '85/74/65' were illustrative of a large corpus.</t>
  </si>
  <si>
    <t>Finding_ID</t>
  </si>
  <si>
    <t>Date_Captured</t>
  </si>
  <si>
    <t>Source_Name</t>
  </si>
  <si>
    <t>Pub_Date</t>
  </si>
  <si>
    <t>Region</t>
  </si>
  <si>
    <t>Finding_Summary</t>
  </si>
  <si>
    <t>Key_Statistic</t>
  </si>
  <si>
    <t>Keywords (; sep)</t>
  </si>
  <si>
    <t>Vendors_Mentioned (; sep)</t>
  </si>
  <si>
    <t>Relevance_to_Tata</t>
  </si>
  <si>
    <t>Confidence</t>
  </si>
  <si>
    <t>Source_URL</t>
  </si>
  <si>
    <t>F001</t>
  </si>
  <si>
    <t>2026-06-10</t>
  </si>
  <si>
    <t>Analyst Report</t>
  </si>
  <si>
    <t>Gartner</t>
  </si>
  <si>
    <t>Apr 2026</t>
  </si>
  <si>
    <t>Global</t>
  </si>
  <si>
    <t>Market Sizing &amp; Spend</t>
  </si>
  <si>
    <t>Statistic</t>
  </si>
  <si>
    <t>Worldwide IT spending is forecast to reach roughly $6.31T in 2026 (+13.5% YoY), with data center spending growing ~55.8% to over $788B, driven mainly by AI infrastructure buildouts.</t>
  </si>
  <si>
    <t>$6.31T IT spend; DC +55.8%</t>
  </si>
  <si>
    <t>AI infrastructure;data center spend;IT spending</t>
  </si>
  <si>
    <t>—</t>
  </si>
  <si>
    <t>High</t>
  </si>
  <si>
    <t>https://www.ciodive.com/news/global-it-spend-exceed-6T-2026/818356/</t>
  </si>
  <si>
    <t>F002</t>
  </si>
  <si>
    <t>Sep 2025 / Feb 2026</t>
  </si>
  <si>
    <t>Prediction</t>
  </si>
  <si>
    <t>Global AI spending is projected to top $2T in 2026 (up from ~$1.5T in 2025); AI infrastructure alone is expected to add ~$401B, led by hyperscaler data center investment.</t>
  </si>
  <si>
    <t>$2T AI spend; +$401B infra</t>
  </si>
  <si>
    <t>AI spend;hyperscaler;AI infrastructure</t>
  </si>
  <si>
    <t>https://www.computerweekly.com/news/366638605/Gartner-AI-and-datacentre-spending-ramps</t>
  </si>
  <si>
    <t>F003</t>
  </si>
  <si>
    <t>IDC</t>
  </si>
  <si>
    <t>Oct 2025</t>
  </si>
  <si>
    <t>IDC forecasts the worldwide AI infrastructure market to reach ~$758B in spending by 2029, driven by hyperscalers, cloud providers, and research/education.</t>
  </si>
  <si>
    <t>$758B AI infra by 2029</t>
  </si>
  <si>
    <t>AI infrastructure;hyperscaler;cloud</t>
  </si>
  <si>
    <t>https://my.idc.com/getdoc.jsp?containerId=prUS53894425</t>
  </si>
  <si>
    <t>F004</t>
  </si>
  <si>
    <t>IDC (via Network World)</t>
  </si>
  <si>
    <t>Q3 2025 / Feb 2026</t>
  </si>
  <si>
    <t>High-Speed Optics</t>
  </si>
  <si>
    <t>The data center segment of the Ethernet switch market grew ~62% YoY in Q3 2025 as high-bandwidth, low-latency AI networking accelerated; 800GbE switch revenue jumped ~92% sequentially.</t>
  </si>
  <si>
    <t>DC Ethernet +62% YoY; 800G +92% QoQ</t>
  </si>
  <si>
    <t>800G;Ethernet;data center switch;low latency</t>
  </si>
  <si>
    <t>https://www.networkworld.com/article/4126582/8-hot-networking-trends-for-2026.html</t>
  </si>
  <si>
    <t>F005</t>
  </si>
  <si>
    <t>Market Research</t>
  </si>
  <si>
    <t>ResearchAndMarkets</t>
  </si>
  <si>
    <t>May 2026</t>
  </si>
  <si>
    <t>The AI data center networking market is projected to grow from ~$10.3B (2025) to ~$12.8B (2026), a 24.2% CAGR, reaching ~$30B by 2030 on demand for low-latency fabrics and optical interconnects.</t>
  </si>
  <si>
    <t>$10.3B-&gt;$12.8B (24.2% CAGR); $30B by 2030</t>
  </si>
  <si>
    <t>AI networking;data center;optical interconnect</t>
  </si>
  <si>
    <t>Medium</t>
  </si>
  <si>
    <t>https://www.globenewswire.com/news-release/2026/05/20/3298728/0/en/ai-data-center-networking-global-market-analysis-report-2026.html</t>
  </si>
  <si>
    <t>F006</t>
  </si>
  <si>
    <t>McKinsey (cited by Cisco)</t>
  </si>
  <si>
    <t>2025</t>
  </si>
  <si>
    <t>Cumulative global data center IT equipment spend (servers, accelerators, networking, optics, storage) could reach ~$4.7T between 2025 and 2030.</t>
  </si>
  <si>
    <t>$4.7T DC equipment 2025-2030</t>
  </si>
  <si>
    <t>data center;accelerators;networking;optics</t>
  </si>
  <si>
    <t>Cisco</t>
  </si>
  <si>
    <t>https://www.networkworld.com/article/4113462/ciscos-2026-agenda-prioritizes-ai-ready-infrastructure-connectivity.html</t>
  </si>
  <si>
    <t>F007</t>
  </si>
  <si>
    <t>Dell'Oro Group</t>
  </si>
  <si>
    <t>Jan 2026</t>
  </si>
  <si>
    <t>AI Back-End / GPU Fabric</t>
  </si>
  <si>
    <t>Trend</t>
  </si>
  <si>
    <t>Ethernet data center switch revenue hit an all-time high in 2025, nearly doubling 2022 levels, propelled by rapid adoption in AI back-end (GPU cluster) networks.</t>
  </si>
  <si>
    <t>Ethernet DC switch revenue ~2x vs 2022</t>
  </si>
  <si>
    <t>AI back-end;GPU fabric;Ethernet;scale-out</t>
  </si>
  <si>
    <t>Arista;NVIDIA</t>
  </si>
  <si>
    <t>https://www.delloro.com/2026-predictions-data-center-switch-frontend-ai-backed-networks/</t>
  </si>
  <si>
    <t>F008</t>
  </si>
  <si>
    <t>Ethernet vs NVLink (Scale-up)</t>
  </si>
  <si>
    <t>'Scale-up' GPU interconnect (within-rack) is emerging as the next battleground for Ethernet against NVIDIA NVLink and UALink; 2026 will bring a wave of vendor announcements.</t>
  </si>
  <si>
    <t>Scale-up = largest new TAM opportunity</t>
  </si>
  <si>
    <t>scale-up;NVLink;UALink;Ethernet;GPU</t>
  </si>
  <si>
    <t>NVIDIA</t>
  </si>
  <si>
    <t>F009</t>
  </si>
  <si>
    <t>Forrester</t>
  </si>
  <si>
    <t>Feb 2026</t>
  </si>
  <si>
    <t>Private / Sovereign AI</t>
  </si>
  <si>
    <t>At least 15% of enterprises will shift toward private AI deployments built on private clouds in 2026, reacting to rising AI cost, data lock-in, and operational risk.</t>
  </si>
  <si>
    <t>&gt;=15% enterprises -&gt; private AI in 2026</t>
  </si>
  <si>
    <t>private AI;private cloud;data sovereignty</t>
  </si>
  <si>
    <t>F010</t>
  </si>
  <si>
    <t>ONUG (via Network World)</t>
  </si>
  <si>
    <t>US</t>
  </si>
  <si>
    <t>AIOps / Autonomous Networks</t>
  </si>
  <si>
    <t>In 2026 Tier-1 and Tier-2 infrastructure operations will move to 'no human in the loop,' with agentic AI autonomously handling incident response and remediation.</t>
  </si>
  <si>
    <t>Tier 1/2 ops -&gt; no human in the loop</t>
  </si>
  <si>
    <t>agentic AI;autonomous networks;AIOps;incident response</t>
  </si>
  <si>
    <t>F011</t>
  </si>
  <si>
    <t>An IDC survey of 500+ practitioners shows a sharp rise in the share of network-management tasks automated by AI, expected to gain momentum over the next two years.</t>
  </si>
  <si>
    <t>500+ respondents; rising AI automation</t>
  </si>
  <si>
    <t>network automation;AIOps;agentic</t>
  </si>
  <si>
    <t>F012</t>
  </si>
  <si>
    <t>Dec 2025</t>
  </si>
  <si>
    <t>Gartner predicts AI agents will take over planning and execution of complex infrastructure tasks, raising the need for stronger operational control, governance, and guardrails.</t>
  </si>
  <si>
    <t>AI agents reshape I&amp;O</t>
  </si>
  <si>
    <t>agentic AI;governance;infrastructure operations</t>
  </si>
  <si>
    <t>https://www.gartner.com/en/documents/7242030</t>
  </si>
  <si>
    <t>F013</t>
  </si>
  <si>
    <t>IDC (via IBM)</t>
  </si>
  <si>
    <t>Adoption Barriers &amp; Skills</t>
  </si>
  <si>
    <t>Challenge</t>
  </si>
  <si>
    <t>IDC identifies operational readiness, security posture, and skills shortages as the leading barriers to AI adoption across enterprise networks.</t>
  </si>
  <si>
    <t>Top barriers: readiness, security, skills</t>
  </si>
  <si>
    <t>skills gap;security posture;readiness</t>
  </si>
  <si>
    <t>Cisco;Juniper;IBM</t>
  </si>
  <si>
    <t>https://www.ibm.com/new/product-blog/new-idc-report-how-ai-is-reshaping-enterprise-networks</t>
  </si>
  <si>
    <t>F014</t>
  </si>
  <si>
    <t>Power &amp; Sustainability</t>
  </si>
  <si>
    <t>Gartner projects data center power consumption to roughly double within four years, driven by AI demand - a constraint reshaping where AI infrastructure can be built.</t>
  </si>
  <si>
    <t>DC power ~2x in 4 years</t>
  </si>
  <si>
    <t>power;sustainability;cooling;data center</t>
  </si>
  <si>
    <t>F015</t>
  </si>
  <si>
    <t>Vendor (Primary)</t>
  </si>
  <si>
    <t>Vendor Product Launch</t>
  </si>
  <si>
    <t>Announcement</t>
  </si>
  <si>
    <t>At Cisco Live EMEA 2026, Cisco unveiled Silicon One G300 (102.4 Tbps switching silicon) and the Nexus One unified fabric to scale AI clusters, with liquid cooling and high-density optics.</t>
  </si>
  <si>
    <t>Silicon One G300 = 102.4 Tbps</t>
  </si>
  <si>
    <t>Silicon One;Nexus One;GPU cluster;liquid cooling</t>
  </si>
  <si>
    <t>Cisco;NVIDIA</t>
  </si>
  <si>
    <t>https://newsroom.cisco.com/c/r/newsroom/en/us/a/y2026/m02/cisco-announces-new-silicon-one-g300.html</t>
  </si>
  <si>
    <t>F016</t>
  </si>
  <si>
    <t>Network Observability</t>
  </si>
  <si>
    <t>Messaging</t>
  </si>
  <si>
    <t>Cisco positions the network as an 'AI innovation platform' and adds AI Job Observability that correlates network telemetry with GPU/workload behavior, with native Splunk integration.</t>
  </si>
  <si>
    <t>Job-aware network-to-GPU visibility</t>
  </si>
  <si>
    <t>network observability;telemetry;Splunk;GPU visibility</t>
  </si>
  <si>
    <t>Cisco;Splunk</t>
  </si>
  <si>
    <t>https://blogs.cisco.com/datacenter/networking-for-the-agentic-era-cisco-unveils-new-innovations-in-scale-and-simplicity</t>
  </si>
  <si>
    <t>F017</t>
  </si>
  <si>
    <t>Network Security (Zero-Trust)</t>
  </si>
  <si>
    <t>Cisco's Nexus N9000 systems run NX-OS, ACI, or SONiC on common hardware and add quantum-resilient line-rate encryption with a hardware root of trust on every port.</t>
  </si>
  <si>
    <t>NX-OS/ACI/SONiC + quantum-safe encryption</t>
  </si>
  <si>
    <t>SONiC;zero-trust;encryption;hardware root of trust</t>
  </si>
  <si>
    <t>F018</t>
  </si>
  <si>
    <t>Industry News</t>
  </si>
  <si>
    <t>HPE</t>
  </si>
  <si>
    <t>Jul 2025</t>
  </si>
  <si>
    <t>Competitive / M&amp;A</t>
  </si>
  <si>
    <t>HPE closed its ~$14B acquisition of Juniper Networks on July 2, 2025, doubling its networking business and forming an 'AI-native' networking unit led by former Juniper CEO Rami Rahim.</t>
  </si>
  <si>
    <t>$14B deal; HPE networking ~2x</t>
  </si>
  <si>
    <t>HPE;Juniper;M&amp;A;AI-native networking</t>
  </si>
  <si>
    <t>HPE/Juniper;Cisco;NVIDIA</t>
  </si>
  <si>
    <t>https://www.hpe.com/us/en/newsroom/press-release/2025/07/hewlett-packard-enterprise-closes-acquisition-of-juniper-networks.html</t>
  </si>
  <si>
    <t>F019</t>
  </si>
  <si>
    <t>Futurum / DOJ</t>
  </si>
  <si>
    <t>The DOJ settlement required HPE to divest its Instant On WLAN line and license Juniper's Mist AIOps source code to rivals via auction; core Mist IP stays with HPE.</t>
  </si>
  <si>
    <t>Divest Instant On; license Mist AIOps</t>
  </si>
  <si>
    <t>Mist;AIOps;antitrust;divestiture</t>
  </si>
  <si>
    <t>HPE/Juniper</t>
  </si>
  <si>
    <t>https://futurumgroup.com/insights/hpe-closes-juniper-acquisition-combining-ai-native-networking-portfolios/</t>
  </si>
  <si>
    <t>F020</t>
  </si>
  <si>
    <t>HPE frames a dual strategy - 'AI for Networks' (self-driving operations via Mist AIOps) and 'Networking for AI' (high-performance fabric for GPU clusters) - unified under GreenLake.</t>
  </si>
  <si>
    <t>Self-driving networks; Tomahawk 6 switch</t>
  </si>
  <si>
    <t>self-driving networks;Mist;GreenLake;AIOps</t>
  </si>
  <si>
    <t>https://www.hpe.com/us/en/newsroom/press-release/2025/12/hpe-disrupts-networking-with-new-ai-native-advances-for-self-driving-operations.html</t>
  </si>
  <si>
    <t>F021</t>
  </si>
  <si>
    <t>Lumen Technologies</t>
  </si>
  <si>
    <t>NaaS / Cloud Connectivity</t>
  </si>
  <si>
    <t>Lumen has repositioned from traditional telco to a 'tech-first' AI infrastructure partner, anchored by Private Connectivity Fabric (PCF) - custom private networks on its fiber.</t>
  </si>
  <si>
    <t>PCF: programmable private fabric</t>
  </si>
  <si>
    <t>PCF;NaaS;tech-first;fiber</t>
  </si>
  <si>
    <t>Lumen;Microsoft;Amazon;Google</t>
  </si>
  <si>
    <t>https://www.lumen.com/en-us/networking/private-connectivity-fabric.html</t>
  </si>
  <si>
    <t>F022</t>
  </si>
  <si>
    <t>Lumen's PCF reached ~$5B in AI-related sales with ~$7B more in active discussions (mostly hyperscalers); PCF claims ~60% higher capacity and ~25% lower optical loss.</t>
  </si>
  <si>
    <t>~$5B PCF sales; ~$7B pipeline</t>
  </si>
  <si>
    <t>PCF;hyperscaler;capacity;optical loss</t>
  </si>
  <si>
    <t>Lumen;Microsoft</t>
  </si>
  <si>
    <t>https://www.fierce-network.com/cloud/microsoft-taps-lumens-fiber-network-help-it-meet-ai-demand</t>
  </si>
  <si>
    <t>F023</t>
  </si>
  <si>
    <t>Lumen added 5.9 Pbps of capacity and 16.6M intercity fiber miles, enabling 400G connectivity across ~100,000 route miles to serve AI and hyperscaler demand.</t>
  </si>
  <si>
    <t>+5.9 Pbps; 16.6M fiber miles; 400G x 100k mi</t>
  </si>
  <si>
    <t>fiber;400G;capacity;intercity</t>
  </si>
  <si>
    <t>Lumen;Corning</t>
  </si>
  <si>
    <t>https://www.ainvest.com/news/lumen-technologies-pioneering-ai-driven-infrastructure-revolution-2509/</t>
  </si>
  <si>
    <t>F024</t>
  </si>
  <si>
    <t>Fierce Network (Lumen CMO)</t>
  </si>
  <si>
    <t>2024</t>
  </si>
  <si>
    <t>Lumen argues network capacity and fiber routes are becoming 'the new scarce resource' for AI, alongside power, space, and cooling.</t>
  </si>
  <si>
    <t>Network = new scarce resource</t>
  </si>
  <si>
    <t>scarcity;fiber;capacity;AI demand</t>
  </si>
  <si>
    <t>Lumen</t>
  </si>
  <si>
    <t>F025</t>
  </si>
  <si>
    <t>Lumen launched a Multi-Cloud Gateway and NaaS offerings (Internet On-Demand, Wavelength RapidRoutes) for programmable cloud-to-cloud connectivity supporting AI workload distribution.</t>
  </si>
  <si>
    <t>Wavelength turn-up in ~20 business days</t>
  </si>
  <si>
    <t>Multi-Cloud Gateway;NaaS;cloud-to-cloud</t>
  </si>
  <si>
    <t>Lumen;Google</t>
  </si>
  <si>
    <t>https://techblog.comsoc.org/category/lumen-technologies/</t>
  </si>
  <si>
    <t>F026</t>
  </si>
  <si>
    <t>Tata Communications</t>
  </si>
  <si>
    <t>Mar 2025</t>
  </si>
  <si>
    <t>India (note)</t>
  </si>
  <si>
    <t>Tata Communications launched 'Vayu,' a next-gen cloud fabric with on-demand NVIDIA GPUs, AI Studio, and claimed 15-30% cost savings - though Vayu-branded services are currently available in India only.</t>
  </si>
  <si>
    <t>Vayu: NVIDIA GPUs; 15-30% cost savings</t>
  </si>
  <si>
    <t>Vayu;NVIDIA GPU;cloud fabric;AI Studio</t>
  </si>
  <si>
    <t>Tata Communications;NVIDIA</t>
  </si>
  <si>
    <t>https://www.tatacommunications.com/press-release/tata-communications-vayu-to-revolutionise-cloud-for-intelligent-enterprise</t>
  </si>
  <si>
    <t>F027</t>
  </si>
  <si>
    <t>Sep 2025</t>
  </si>
  <si>
    <t>Tata's Vayu AI Cloud operates under an ISO/IEC 42001:2023 AI management system certification and connects enterprise data via the IZO Multi Cloud Connect platform.</t>
  </si>
  <si>
    <t>ISO/IEC 42001 AI management cert</t>
  </si>
  <si>
    <t>ISO 42001;IZO;multi-cloud;governance</t>
  </si>
  <si>
    <t>https://www.tatacommunications.com/cloud/cloud-ai</t>
  </si>
  <si>
    <t>F028</t>
  </si>
  <si>
    <t>US / Global</t>
  </si>
  <si>
    <t>Tata's strategic emphasis is global network reach and managed, sovereign-grade connectivity ('digital fabric'), positioning global reach as a differentiator versus US-centric rivals.</t>
  </si>
  <si>
    <t>Differentiator: global network reach</t>
  </si>
  <si>
    <t>digital fabric;global reach;managed network;sovereign</t>
  </si>
  <si>
    <t>https://www.tatacommunications.com/press-release/tata-communications-unveils-ai-infrastructure-with-nvidia</t>
  </si>
  <si>
    <t>F029</t>
  </si>
  <si>
    <t>Network World</t>
  </si>
  <si>
    <t>Ethernet is expanding from AI scale-out into scale-up (within-rack GPU interconnect); 2026 will see AI rack systems using Ethernet to connect accelerators, challenging NVLink.</t>
  </si>
  <si>
    <t>AI rack scale-up via Ethernet in 2026</t>
  </si>
  <si>
    <t>scale-up;scale-out;Ethernet;GPU interconnect</t>
  </si>
  <si>
    <t>F030</t>
  </si>
  <si>
    <t>Vendor diversity in AI clusters is rising; SONiC adoption is expected to accelerate across scale-up and scale-out because no single vendor can meet total AI infrastructure demand.</t>
  </si>
  <si>
    <t>SONiC adoption to accelerate in 2026</t>
  </si>
  <si>
    <t>SONiC;vendor diversity;AI cluster;supply risk</t>
  </si>
  <si>
    <t>F031</t>
  </si>
  <si>
    <t>ARC Advisory Group</t>
  </si>
  <si>
    <t>In manufacturing, AI ambitions are increasingly limited by underlying OT network capability rather than algorithms; a modern enterprise-grade network is a prerequisite for scaling AI.</t>
  </si>
  <si>
    <t>Network is the limiter for AI in mfg</t>
  </si>
  <si>
    <t>manufacturing;OT network;edge;modernization</t>
  </si>
  <si>
    <t>https://www.arcweb.com/blog/modern-networks-foundation-ai-ready-manufacturing</t>
  </si>
  <si>
    <t>F032</t>
  </si>
  <si>
    <t>IEEE ComSoc / Cisco</t>
  </si>
  <si>
    <t>Jun 2026</t>
  </si>
  <si>
    <t>Industry framing of a new 'network supercycle' as agentic AI workloads reshape telecom and enterprise infrastructure.</t>
  </si>
  <si>
    <t>Agentic AI -&gt; 'network supercycle'</t>
  </si>
  <si>
    <t>network supercycle;agentic AI;telecom</t>
  </si>
  <si>
    <t>https://techblog.comsoc.org/2025/09/17/gartner-ai-spending-to-top-2-trillion-in-2026/</t>
  </si>
  <si>
    <t>F033</t>
  </si>
  <si>
    <t>Gartner (via Computer Weekly)</t>
  </si>
  <si>
    <t>Gartner projects AI-optimized server spending to grow ~49% in 2026, representing ~17% of total AI spending - a signal of where AI capex is concentrating.</t>
  </si>
  <si>
    <t>AI-optimized servers +49%; ~17% of AI spend</t>
  </si>
  <si>
    <t>AI servers;capex;hyperscaler</t>
  </si>
  <si>
    <t>F034</t>
  </si>
  <si>
    <t>IBM (IDC)</t>
  </si>
  <si>
    <t>Enterprises are modernizing heterogeneous networks (e.g., Cisco and Juniper estates) for hybrid AI workloads, increasing demand for integrated data-center network support.</t>
  </si>
  <si>
    <t>Heterogeneous network modernization for AI</t>
  </si>
  <si>
    <t>heterogeneous;modernization;support;hybrid AI</t>
  </si>
  <si>
    <t>F035</t>
  </si>
  <si>
    <t>Gartner (via Itential)</t>
  </si>
  <si>
    <t>Network operators are aligning to agentic operations using API-first orchestration that translates natural-language intent into governed workflows across network, cloud, and security.</t>
  </si>
  <si>
    <t>API-first agentic orchestration</t>
  </si>
  <si>
    <t>orchestration;agentic;API-first;intent</t>
  </si>
  <si>
    <t>https://www.itential.com/resource/analyst-report/gartner-predicts-2026-ai-agents-will-reshape-infrastructure-operations/</t>
  </si>
  <si>
    <t>Finding_Count</t>
  </si>
  <si>
    <t>Keyword</t>
  </si>
  <si>
    <t>Category</t>
  </si>
  <si>
    <t>Mention_Count (live)</t>
  </si>
  <si>
    <t>Trend_Direction</t>
  </si>
  <si>
    <t>AI infrastructure</t>
  </si>
  <si>
    <t>Market</t>
  </si>
  <si>
    <t>Rising</t>
  </si>
  <si>
    <t>network observability</t>
  </si>
  <si>
    <t>Operations</t>
  </si>
  <si>
    <t>GPU</t>
  </si>
  <si>
    <t>Fabric</t>
  </si>
  <si>
    <t>Ethernet</t>
  </si>
  <si>
    <t>scale-up</t>
  </si>
  <si>
    <t>Emerging</t>
  </si>
  <si>
    <t>AIOps</t>
  </si>
  <si>
    <t>agentic</t>
  </si>
  <si>
    <t>800G</t>
  </si>
  <si>
    <t>Optics</t>
  </si>
  <si>
    <t>NaaS</t>
  </si>
  <si>
    <t>Connectivity</t>
  </si>
  <si>
    <t>PCF</t>
  </si>
  <si>
    <t>private AI</t>
  </si>
  <si>
    <t>Strategy</t>
  </si>
  <si>
    <t>SONiC</t>
  </si>
  <si>
    <t>zero-trust</t>
  </si>
  <si>
    <t>Security</t>
  </si>
  <si>
    <t>Steady</t>
  </si>
  <si>
    <t>liquid cooling</t>
  </si>
  <si>
    <t>Power</t>
  </si>
  <si>
    <t>NVLink</t>
  </si>
  <si>
    <t>multi-cloud</t>
  </si>
  <si>
    <t>data center</t>
  </si>
  <si>
    <t>hyperscaler</t>
  </si>
  <si>
    <t>sovereign</t>
  </si>
  <si>
    <t>Mist</t>
  </si>
  <si>
    <t>Vendor</t>
  </si>
  <si>
    <t>AI-Networking Positioning (1-line)</t>
  </si>
  <si>
    <t>Watch in Week 2?</t>
  </si>
  <si>
    <t>Networking vendor</t>
  </si>
  <si>
    <t>Network as 'AI innovation platform'; Silicon One G300, Nexus One, AI Job Observability, AgenticOps.</t>
  </si>
  <si>
    <t>Yes</t>
  </si>
  <si>
    <t>'AI-native' networking after $14B Juniper deal; Mist AIOps + GreenLake; 'AI for / Networking for AI'.</t>
  </si>
  <si>
    <t>Juniper</t>
  </si>
  <si>
    <t>Now part of HPE; Mist AIOps remains a Gartner-recognized AI-native asset.</t>
  </si>
  <si>
    <t>Arista</t>
  </si>
  <si>
    <t>Leader in Ethernet AI back-end (scale-out) switching; strong cloud/AI fabric share.</t>
  </si>
  <si>
    <t>Silicon / fabric</t>
  </si>
  <si>
    <t>Spectrum-X Ethernet + NVLink/InfiniBand; sets the GPU-fabric reference for the whole market.</t>
  </si>
  <si>
    <t>Telco / NSP</t>
  </si>
  <si>
    <t>'Tech-first' AI infra partner; Private Connectivity Fabric, NaaS, hyperscaler fiber deals.</t>
  </si>
  <si>
    <t>Yes (primary)</t>
  </si>
  <si>
    <t>AT&amp;T</t>
  </si>
  <si>
    <t>US enterprise connectivity, edge, fiber; AI-era network modernization - capture in Week 2.</t>
  </si>
  <si>
    <t>Verizon</t>
  </si>
  <si>
    <t>US enterprise, private 5G, edge compute; AI connectivity angle - capture in Week 2.</t>
  </si>
  <si>
    <t>NTT DATA</t>
  </si>
  <si>
    <t>Global data centers + network; major AI data-center builder - capture in Week 2.</t>
  </si>
  <si>
    <t>Orange Business</t>
  </si>
  <si>
    <t>Europe-centric NSP; managed networks / NaaS - capture in Week 2.</t>
  </si>
  <si>
    <t>Equinix</t>
  </si>
  <si>
    <t>Data center / interconnect</t>
  </si>
  <si>
    <t>Fabric interconnect + xScale data centers; neutral AI interconnection hub.</t>
  </si>
  <si>
    <t>Telco / NSP (baseline)</t>
  </si>
  <si>
    <t>Global digital fabric, IZO multi-cloud, Vayu (India only); differentiator = global reach.</t>
  </si>
  <si>
    <t>Baseline</t>
  </si>
  <si>
    <t>Microsoft</t>
  </si>
  <si>
    <t>Hyperscaler</t>
  </si>
  <si>
    <t>Azure AI demand; anchor PCF customer of Lumen - signals where capacity flows.</t>
  </si>
  <si>
    <t>Context</t>
  </si>
  <si>
    <t>Google</t>
  </si>
  <si>
    <t>Google Cloud NaaS partnership w/ Lumen; AI infra demand driver.</t>
  </si>
  <si>
    <t>Source</t>
  </si>
  <si>
    <t>Timeframe</t>
  </si>
  <si>
    <t>Key Metric</t>
  </si>
  <si>
    <t>Relevance to Tata (US)</t>
  </si>
  <si>
    <t>Global AI spending tops $2T; AI infrastructure adds ~$401B.</t>
  </si>
  <si>
    <t>2026</t>
  </si>
  <si>
    <t>$2T / +$401B</t>
  </si>
  <si>
    <t>Validates the size of the AI-network opportunity Tata is targeting.</t>
  </si>
  <si>
    <t>Data center spending grows ~55.8% to &gt;$788B; power doubles in ~4 yrs.</t>
  </si>
  <si>
    <t>2026-2030</t>
  </si>
  <si>
    <t>+55.8% DC; 2x power</t>
  </si>
  <si>
    <t>Power/site constraints favor providers with global footprint &amp; efficient DCs.</t>
  </si>
  <si>
    <t>Worldwide AI infrastructure spend reaches ~$758B.</t>
  </si>
  <si>
    <t>by 2029</t>
  </si>
  <si>
    <t>$758B</t>
  </si>
  <si>
    <t>Long runway; supports multi-year account targeting.</t>
  </si>
  <si>
    <t>&gt;=15% of enterprises shift to private AI on private clouds.</t>
  </si>
  <si>
    <t>15%</t>
  </si>
  <si>
    <t>Direct fit for managed/sovereign connectivity &amp; private fabric offers.</t>
  </si>
  <si>
    <t>Dell'Oro</t>
  </si>
  <si>
    <t>Ethernet expands into scale-up; SONiC adoption accelerates.</t>
  </si>
  <si>
    <t>scale-up TAM</t>
  </si>
  <si>
    <t>Open Ethernet/SONiC lowers lock-in - relevant to NSP positioning.</t>
  </si>
  <si>
    <t>ONUG</t>
  </si>
  <si>
    <t>Tier-1/2 network ops go 'no human in the loop' (agentic).</t>
  </si>
  <si>
    <t>autonomy</t>
  </si>
  <si>
    <t>AIOps becomes table-stakes messaging for any network provider.</t>
  </si>
  <si>
    <t>AI agents take over complex I&amp;O tasks; governance becomes critical.</t>
  </si>
  <si>
    <t>2026-2028</t>
  </si>
  <si>
    <t>agentic I&amp;O</t>
  </si>
  <si>
    <t>Governance + ISO 42001 is a credible Tata differentiator.</t>
  </si>
  <si>
    <t>Operational readiness, security &amp; skills are top AI-network barriers.</t>
  </si>
  <si>
    <t>2025-2027</t>
  </si>
  <si>
    <t>top 3 barriers</t>
  </si>
  <si>
    <t>Managed services narrative addresses the skills-gap barrier directly.</t>
  </si>
  <si>
    <t>Rank</t>
  </si>
  <si>
    <t>Market Trend</t>
  </si>
  <si>
    <t>One-line Description</t>
  </si>
  <si>
    <t>Evidence (source example)</t>
  </si>
  <si>
    <t>Tata (US) Relevance</t>
  </si>
  <si>
    <t>AI is rewiring the data-center network</t>
  </si>
  <si>
    <t>GPU clusters force high-bandwidth, low-latency back-end fabrics.</t>
  </si>
  <si>
    <t>IDC: DC Ethernet +62% YoY (Q3'25)</t>
  </si>
  <si>
    <t>Core demand signal for AI-ready network conversations.</t>
  </si>
  <si>
    <t>Ethernet beats proprietary fabric</t>
  </si>
  <si>
    <t>Ethernet (incl. SONiC) expands from scale-out into scale-up vs NVLink/UALink.</t>
  </si>
  <si>
    <t>Dell'Oro 2026 predictions</t>
  </si>
  <si>
    <t>Open standards reduce lock-in; align messaging accordingly.</t>
  </si>
  <si>
    <t>800G / 1.6T optics go mainstream</t>
  </si>
  <si>
    <t>Highest-speed ports drive switch revenue; co-packaged optics emerge.</t>
  </si>
  <si>
    <t>IDC: 800G +92% QoQ</t>
  </si>
  <si>
    <t>High-capacity transport is the product conversation.</t>
  </si>
  <si>
    <t>Network observability is mandatory</t>
  </si>
  <si>
    <t>Job-aware, network-to-GPU visibility correlates telemetry with workloads.</t>
  </si>
  <si>
    <t>Cisco AI Job Observability</t>
  </si>
  <si>
    <t>Observability is a key theme to claim in the matrix.</t>
  </si>
  <si>
    <t>Agentic / self-driving operations</t>
  </si>
  <si>
    <t>Tier-1/2 ops move toward 'no human in the loop'; AIOps everywhere.</t>
  </si>
  <si>
    <t>ONUG; Gartner Predicts 2026</t>
  </si>
  <si>
    <t>AIOps + governance is differentiating messaging.</t>
  </si>
  <si>
    <t>Network capacity is the new scarce resource</t>
  </si>
  <si>
    <t>Fiber/routes ranked with power, space, cooling as AI constraints.</t>
  </si>
  <si>
    <t>Lumen (Fierce)</t>
  </si>
  <si>
    <t>Reframes connectivity as strategic, not commodity.</t>
  </si>
  <si>
    <t>Private &amp; sovereign AI rising</t>
  </si>
  <si>
    <t>Enterprises move to private AI to cut cost, lock-in, and risk.</t>
  </si>
  <si>
    <t>Forrester: &gt;=15% in 2026</t>
  </si>
  <si>
    <t>Strong fit for managed/sovereign-grade connectivity.</t>
  </si>
  <si>
    <t>NaaS &amp; multi-cloud connectivity</t>
  </si>
  <si>
    <t>Programmable, on-demand cloud-to-cloud fabric for AI workloads.</t>
  </si>
  <si>
    <t>Lumen PCF / Multi-Cloud Gateway</t>
  </si>
  <si>
    <t>Maps to IZO / digital-fabric positioning.</t>
  </si>
  <si>
    <t>Vendor landscape consolidating</t>
  </si>
  <si>
    <t>HPE+Juniper reshapes competition vs Cisco, Arista, NVIDIA.</t>
  </si>
  <si>
    <t>HPE closes $14B Juniper deal</t>
  </si>
  <si>
    <t>Competitive set has shifted - update Week 2 matrix.</t>
  </si>
  <si>
    <t>Power &amp; sustainability constrain buildout</t>
  </si>
  <si>
    <t>DC power projected to ~2x in four years under AI demand.</t>
  </si>
  <si>
    <t>Efficient DCs + global siting are advantages.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</si>
</sst>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C00000"/>
      <name val="Arial"/>
      <charset val="1"/>
    </font>
    <font>
      <sz val="10"/>
      <color rgb="FFC00000"/>
      <name val="Arial"/>
      <charset val="1"/>
    </font>
    <font>
      <b/>
      <sz val="10"/>
      <color rgb="FFFFFFFF"/>
      <name val="Arial"/>
      <charset val="1"/>
    </font>
    <font>
      <i/>
      <sz val="9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opLeftCell="A3" zoomScaleNormal="100" workbookViewId="0">
      <selection activeCell="B21" sqref="B21"/>
    </sheetView>
  </sheetViews>
  <sheetFormatPr defaultColWidth="8.6640625" defaultRowHeight="14.4" x14ac:dyDescent="0.3"/>
  <cols>
    <col min="1" max="1" width="61" bestFit="1" customWidth="1"/>
    <col min="2" max="2" width="96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2" t="s">
        <v>5</v>
      </c>
      <c r="B4" s="3" t="s">
        <v>6</v>
      </c>
    </row>
    <row r="5" spans="1:2" ht="39.6" x14ac:dyDescent="0.3">
      <c r="A5" s="4" t="s">
        <v>7</v>
      </c>
      <c r="B5" s="5" t="s">
        <v>8</v>
      </c>
    </row>
    <row r="6" spans="1:2" x14ac:dyDescent="0.3">
      <c r="A6" s="2" t="s">
        <v>9</v>
      </c>
      <c r="B6" s="3"/>
    </row>
    <row r="7" spans="1:2" x14ac:dyDescent="0.3">
      <c r="A7" s="2" t="s">
        <v>10</v>
      </c>
      <c r="B7" s="3" t="s">
        <v>11</v>
      </c>
    </row>
    <row r="8" spans="1:2" x14ac:dyDescent="0.3">
      <c r="A8" s="2" t="s">
        <v>12</v>
      </c>
      <c r="B8" s="3" t="s">
        <v>13</v>
      </c>
    </row>
    <row r="9" spans="1:2" x14ac:dyDescent="0.3">
      <c r="A9" s="2" t="s">
        <v>14</v>
      </c>
      <c r="B9" s="3" t="s">
        <v>15</v>
      </c>
    </row>
    <row r="10" spans="1:2" x14ac:dyDescent="0.3">
      <c r="A10" s="2" t="s">
        <v>16</v>
      </c>
      <c r="B10" s="3" t="s">
        <v>17</v>
      </c>
    </row>
    <row r="11" spans="1:2" x14ac:dyDescent="0.3">
      <c r="A11" s="2" t="s">
        <v>18</v>
      </c>
      <c r="B11" s="3" t="s">
        <v>19</v>
      </c>
    </row>
    <row r="12" spans="1:2" x14ac:dyDescent="0.3">
      <c r="A12" s="2" t="s">
        <v>20</v>
      </c>
      <c r="B12" s="3" t="s">
        <v>21</v>
      </c>
    </row>
    <row r="13" spans="1:2" x14ac:dyDescent="0.3">
      <c r="A13" s="2" t="s">
        <v>22</v>
      </c>
      <c r="B13" s="3"/>
    </row>
    <row r="14" spans="1:2" x14ac:dyDescent="0.3">
      <c r="A14" s="2" t="s">
        <v>23</v>
      </c>
      <c r="B14" s="3" t="s">
        <v>24</v>
      </c>
    </row>
    <row r="15" spans="1:2" ht="39.6" x14ac:dyDescent="0.3">
      <c r="A15" s="2" t="s">
        <v>25</v>
      </c>
      <c r="B15" s="3" t="s">
        <v>26</v>
      </c>
    </row>
    <row r="16" spans="1:2" x14ac:dyDescent="0.3">
      <c r="A16" s="2" t="s">
        <v>27</v>
      </c>
      <c r="B16" s="3" t="s">
        <v>28</v>
      </c>
    </row>
    <row r="17" spans="1:2" x14ac:dyDescent="0.3">
      <c r="A17" s="2" t="s">
        <v>29</v>
      </c>
      <c r="B17" s="3" t="s">
        <v>30</v>
      </c>
    </row>
    <row r="18" spans="1:2" ht="26.4" x14ac:dyDescent="0.3">
      <c r="A18" s="2" t="s">
        <v>31</v>
      </c>
      <c r="B18" s="3" t="s">
        <v>32</v>
      </c>
    </row>
    <row r="19" spans="1:2" ht="39.6" x14ac:dyDescent="0.3">
      <c r="A19" s="2" t="s">
        <v>33</v>
      </c>
      <c r="B19" s="3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8.6640625" defaultRowHeight="14.4" x14ac:dyDescent="0.3"/>
  <cols>
    <col min="1" max="1" width="9" customWidth="1"/>
    <col min="2" max="2" width="12" customWidth="1"/>
    <col min="3" max="3" width="15" customWidth="1"/>
    <col min="4" max="4" width="20" customWidth="1"/>
    <col min="5" max="5" width="14" customWidth="1"/>
    <col min="6" max="6" width="11" customWidth="1"/>
    <col min="7" max="7" width="22" customWidth="1"/>
    <col min="8" max="8" width="13.88671875" bestFit="1" customWidth="1"/>
    <col min="9" max="9" width="52" customWidth="1"/>
    <col min="10" max="12" width="26" customWidth="1"/>
    <col min="13" max="13" width="14" customWidth="1"/>
    <col min="14" max="14" width="11" customWidth="1"/>
    <col min="15" max="15" width="46" customWidth="1"/>
  </cols>
  <sheetData>
    <row r="1" spans="1:15" ht="26.4" x14ac:dyDescent="0.3">
      <c r="A1" s="6" t="s">
        <v>35</v>
      </c>
      <c r="B1" s="6" t="s">
        <v>36</v>
      </c>
      <c r="C1" s="6" t="s">
        <v>23</v>
      </c>
      <c r="D1" s="6" t="s">
        <v>37</v>
      </c>
      <c r="E1" s="6" t="s">
        <v>38</v>
      </c>
      <c r="F1" s="6" t="s">
        <v>39</v>
      </c>
      <c r="G1" s="6" t="s">
        <v>25</v>
      </c>
      <c r="H1" s="6" t="s">
        <v>27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</row>
    <row r="2" spans="1:15" ht="52.8" x14ac:dyDescent="0.3">
      <c r="A2" s="7" t="s">
        <v>47</v>
      </c>
      <c r="B2" s="7" t="s">
        <v>48</v>
      </c>
      <c r="C2" s="7" t="s">
        <v>49</v>
      </c>
      <c r="D2" s="7" t="s">
        <v>50</v>
      </c>
      <c r="E2" s="7" t="s">
        <v>51</v>
      </c>
      <c r="F2" s="7" t="s">
        <v>52</v>
      </c>
      <c r="G2" s="7" t="s">
        <v>53</v>
      </c>
      <c r="H2" s="7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7" t="s">
        <v>59</v>
      </c>
      <c r="N2" s="7" t="s">
        <v>59</v>
      </c>
      <c r="O2" s="7" t="s">
        <v>60</v>
      </c>
    </row>
    <row r="3" spans="1:15" ht="39.6" x14ac:dyDescent="0.3">
      <c r="A3" s="7" t="s">
        <v>61</v>
      </c>
      <c r="B3" s="7" t="s">
        <v>48</v>
      </c>
      <c r="C3" s="7" t="s">
        <v>49</v>
      </c>
      <c r="D3" s="7" t="s">
        <v>50</v>
      </c>
      <c r="E3" s="7" t="s">
        <v>62</v>
      </c>
      <c r="F3" s="7" t="s">
        <v>52</v>
      </c>
      <c r="G3" s="7" t="s">
        <v>53</v>
      </c>
      <c r="H3" s="7" t="s">
        <v>63</v>
      </c>
      <c r="I3" s="8" t="s">
        <v>64</v>
      </c>
      <c r="J3" s="8" t="s">
        <v>65</v>
      </c>
      <c r="K3" s="8" t="s">
        <v>66</v>
      </c>
      <c r="L3" s="8" t="s">
        <v>58</v>
      </c>
      <c r="M3" s="7" t="s">
        <v>59</v>
      </c>
      <c r="N3" s="7" t="s">
        <v>59</v>
      </c>
      <c r="O3" s="7" t="s">
        <v>67</v>
      </c>
    </row>
    <row r="4" spans="1:15" ht="39.6" x14ac:dyDescent="0.3">
      <c r="A4" s="7" t="s">
        <v>68</v>
      </c>
      <c r="B4" s="7" t="s">
        <v>48</v>
      </c>
      <c r="C4" s="7" t="s">
        <v>49</v>
      </c>
      <c r="D4" s="7" t="s">
        <v>69</v>
      </c>
      <c r="E4" s="7" t="s">
        <v>70</v>
      </c>
      <c r="F4" s="7" t="s">
        <v>52</v>
      </c>
      <c r="G4" s="7" t="s">
        <v>53</v>
      </c>
      <c r="H4" s="7" t="s">
        <v>63</v>
      </c>
      <c r="I4" s="8" t="s">
        <v>71</v>
      </c>
      <c r="J4" s="8" t="s">
        <v>72</v>
      </c>
      <c r="K4" s="8" t="s">
        <v>73</v>
      </c>
      <c r="L4" s="8" t="s">
        <v>58</v>
      </c>
      <c r="M4" s="7" t="s">
        <v>59</v>
      </c>
      <c r="N4" s="7" t="s">
        <v>59</v>
      </c>
      <c r="O4" s="7" t="s">
        <v>74</v>
      </c>
    </row>
    <row r="5" spans="1:15" ht="52.8" x14ac:dyDescent="0.3">
      <c r="A5" s="7" t="s">
        <v>75</v>
      </c>
      <c r="B5" s="7" t="s">
        <v>48</v>
      </c>
      <c r="C5" s="7" t="s">
        <v>49</v>
      </c>
      <c r="D5" s="7" t="s">
        <v>76</v>
      </c>
      <c r="E5" s="7" t="s">
        <v>77</v>
      </c>
      <c r="F5" s="7" t="s">
        <v>52</v>
      </c>
      <c r="G5" s="7" t="s">
        <v>78</v>
      </c>
      <c r="H5" s="7" t="s">
        <v>54</v>
      </c>
      <c r="I5" s="8" t="s">
        <v>79</v>
      </c>
      <c r="J5" s="8" t="s">
        <v>80</v>
      </c>
      <c r="K5" s="8" t="s">
        <v>81</v>
      </c>
      <c r="L5" s="8" t="s">
        <v>58</v>
      </c>
      <c r="M5" s="7" t="s">
        <v>59</v>
      </c>
      <c r="N5" s="7" t="s">
        <v>59</v>
      </c>
      <c r="O5" s="7" t="s">
        <v>82</v>
      </c>
    </row>
    <row r="6" spans="1:15" ht="52.8" x14ac:dyDescent="0.3">
      <c r="A6" s="7" t="s">
        <v>83</v>
      </c>
      <c r="B6" s="7" t="s">
        <v>48</v>
      </c>
      <c r="C6" s="7" t="s">
        <v>84</v>
      </c>
      <c r="D6" s="7" t="s">
        <v>85</v>
      </c>
      <c r="E6" s="7" t="s">
        <v>86</v>
      </c>
      <c r="F6" s="7" t="s">
        <v>52</v>
      </c>
      <c r="G6" s="7" t="s">
        <v>53</v>
      </c>
      <c r="H6" s="7" t="s">
        <v>54</v>
      </c>
      <c r="I6" s="8" t="s">
        <v>87</v>
      </c>
      <c r="J6" s="8" t="s">
        <v>88</v>
      </c>
      <c r="K6" s="8" t="s">
        <v>89</v>
      </c>
      <c r="L6" s="8" t="s">
        <v>58</v>
      </c>
      <c r="M6" s="7" t="s">
        <v>59</v>
      </c>
      <c r="N6" s="7" t="s">
        <v>90</v>
      </c>
      <c r="O6" s="7" t="s">
        <v>91</v>
      </c>
    </row>
    <row r="7" spans="1:15" ht="39.6" x14ac:dyDescent="0.3">
      <c r="A7" s="7" t="s">
        <v>92</v>
      </c>
      <c r="B7" s="7" t="s">
        <v>48</v>
      </c>
      <c r="C7" s="7" t="s">
        <v>49</v>
      </c>
      <c r="D7" s="7" t="s">
        <v>93</v>
      </c>
      <c r="E7" s="7" t="s">
        <v>94</v>
      </c>
      <c r="F7" s="7" t="s">
        <v>52</v>
      </c>
      <c r="G7" s="7" t="s">
        <v>53</v>
      </c>
      <c r="H7" s="7" t="s">
        <v>54</v>
      </c>
      <c r="I7" s="8" t="s">
        <v>95</v>
      </c>
      <c r="J7" s="8" t="s">
        <v>96</v>
      </c>
      <c r="K7" s="8" t="s">
        <v>97</v>
      </c>
      <c r="L7" s="8" t="s">
        <v>98</v>
      </c>
      <c r="M7" s="7" t="s">
        <v>59</v>
      </c>
      <c r="N7" s="7" t="s">
        <v>90</v>
      </c>
      <c r="O7" s="7" t="s">
        <v>99</v>
      </c>
    </row>
    <row r="8" spans="1:15" ht="39.6" x14ac:dyDescent="0.3">
      <c r="A8" s="7" t="s">
        <v>100</v>
      </c>
      <c r="B8" s="7" t="s">
        <v>48</v>
      </c>
      <c r="C8" s="7" t="s">
        <v>49</v>
      </c>
      <c r="D8" s="7" t="s">
        <v>101</v>
      </c>
      <c r="E8" s="7" t="s">
        <v>102</v>
      </c>
      <c r="F8" s="7" t="s">
        <v>52</v>
      </c>
      <c r="G8" s="7" t="s">
        <v>103</v>
      </c>
      <c r="H8" s="7" t="s">
        <v>104</v>
      </c>
      <c r="I8" s="8" t="s">
        <v>105</v>
      </c>
      <c r="J8" s="8" t="s">
        <v>106</v>
      </c>
      <c r="K8" s="8" t="s">
        <v>107</v>
      </c>
      <c r="L8" s="8" t="s">
        <v>108</v>
      </c>
      <c r="M8" s="7" t="s">
        <v>59</v>
      </c>
      <c r="N8" s="7" t="s">
        <v>59</v>
      </c>
      <c r="O8" s="7" t="s">
        <v>109</v>
      </c>
    </row>
    <row r="9" spans="1:15" ht="39.6" x14ac:dyDescent="0.3">
      <c r="A9" s="7" t="s">
        <v>110</v>
      </c>
      <c r="B9" s="7" t="s">
        <v>48</v>
      </c>
      <c r="C9" s="7" t="s">
        <v>49</v>
      </c>
      <c r="D9" s="7" t="s">
        <v>101</v>
      </c>
      <c r="E9" s="7" t="s">
        <v>102</v>
      </c>
      <c r="F9" s="7" t="s">
        <v>52</v>
      </c>
      <c r="G9" s="7" t="s">
        <v>111</v>
      </c>
      <c r="H9" s="7" t="s">
        <v>63</v>
      </c>
      <c r="I9" s="8" t="s">
        <v>112</v>
      </c>
      <c r="J9" s="8" t="s">
        <v>113</v>
      </c>
      <c r="K9" s="8" t="s">
        <v>114</v>
      </c>
      <c r="L9" s="8" t="s">
        <v>115</v>
      </c>
      <c r="M9" s="7" t="s">
        <v>59</v>
      </c>
      <c r="N9" s="7" t="s">
        <v>59</v>
      </c>
      <c r="O9" s="7" t="s">
        <v>99</v>
      </c>
    </row>
    <row r="10" spans="1:15" ht="39.6" x14ac:dyDescent="0.3">
      <c r="A10" s="7" t="s">
        <v>116</v>
      </c>
      <c r="B10" s="7" t="s">
        <v>48</v>
      </c>
      <c r="C10" s="7" t="s">
        <v>49</v>
      </c>
      <c r="D10" s="7" t="s">
        <v>117</v>
      </c>
      <c r="E10" s="7" t="s">
        <v>118</v>
      </c>
      <c r="F10" s="7" t="s">
        <v>52</v>
      </c>
      <c r="G10" s="7" t="s">
        <v>119</v>
      </c>
      <c r="H10" s="7" t="s">
        <v>63</v>
      </c>
      <c r="I10" s="8" t="s">
        <v>120</v>
      </c>
      <c r="J10" s="8" t="s">
        <v>121</v>
      </c>
      <c r="K10" s="8" t="s">
        <v>122</v>
      </c>
      <c r="L10" s="8" t="s">
        <v>58</v>
      </c>
      <c r="M10" s="7" t="s">
        <v>59</v>
      </c>
      <c r="N10" s="7" t="s">
        <v>59</v>
      </c>
      <c r="O10" s="7" t="s">
        <v>82</v>
      </c>
    </row>
    <row r="11" spans="1:15" ht="39.6" x14ac:dyDescent="0.3">
      <c r="A11" s="7" t="s">
        <v>123</v>
      </c>
      <c r="B11" s="7" t="s">
        <v>48</v>
      </c>
      <c r="C11" s="7" t="s">
        <v>49</v>
      </c>
      <c r="D11" s="7" t="s">
        <v>124</v>
      </c>
      <c r="E11" s="7" t="s">
        <v>118</v>
      </c>
      <c r="F11" s="7" t="s">
        <v>125</v>
      </c>
      <c r="G11" s="7" t="s">
        <v>126</v>
      </c>
      <c r="H11" s="7" t="s">
        <v>63</v>
      </c>
      <c r="I11" s="8" t="s">
        <v>127</v>
      </c>
      <c r="J11" s="8" t="s">
        <v>128</v>
      </c>
      <c r="K11" s="8" t="s">
        <v>129</v>
      </c>
      <c r="L11" s="8" t="s">
        <v>58</v>
      </c>
      <c r="M11" s="7" t="s">
        <v>90</v>
      </c>
      <c r="N11" s="7" t="s">
        <v>90</v>
      </c>
      <c r="O11" s="7" t="s">
        <v>82</v>
      </c>
    </row>
    <row r="12" spans="1:15" ht="39.6" x14ac:dyDescent="0.3">
      <c r="A12" s="7" t="s">
        <v>130</v>
      </c>
      <c r="B12" s="7" t="s">
        <v>48</v>
      </c>
      <c r="C12" s="7" t="s">
        <v>49</v>
      </c>
      <c r="D12" s="7" t="s">
        <v>76</v>
      </c>
      <c r="E12" s="7" t="s">
        <v>118</v>
      </c>
      <c r="F12" s="7" t="s">
        <v>52</v>
      </c>
      <c r="G12" s="7" t="s">
        <v>126</v>
      </c>
      <c r="H12" s="7" t="s">
        <v>54</v>
      </c>
      <c r="I12" s="8" t="s">
        <v>131</v>
      </c>
      <c r="J12" s="8" t="s">
        <v>132</v>
      </c>
      <c r="K12" s="8" t="s">
        <v>133</v>
      </c>
      <c r="L12" s="8" t="s">
        <v>58</v>
      </c>
      <c r="M12" s="7" t="s">
        <v>90</v>
      </c>
      <c r="N12" s="7" t="s">
        <v>59</v>
      </c>
      <c r="O12" s="7" t="s">
        <v>82</v>
      </c>
    </row>
    <row r="13" spans="1:15" ht="39.6" x14ac:dyDescent="0.3">
      <c r="A13" s="7" t="s">
        <v>134</v>
      </c>
      <c r="B13" s="7" t="s">
        <v>48</v>
      </c>
      <c r="C13" s="7" t="s">
        <v>49</v>
      </c>
      <c r="D13" s="7" t="s">
        <v>50</v>
      </c>
      <c r="E13" s="7" t="s">
        <v>135</v>
      </c>
      <c r="F13" s="7" t="s">
        <v>52</v>
      </c>
      <c r="G13" s="7" t="s">
        <v>126</v>
      </c>
      <c r="H13" s="7" t="s">
        <v>63</v>
      </c>
      <c r="I13" s="8" t="s">
        <v>136</v>
      </c>
      <c r="J13" s="8" t="s">
        <v>137</v>
      </c>
      <c r="K13" s="8" t="s">
        <v>138</v>
      </c>
      <c r="L13" s="8" t="s">
        <v>58</v>
      </c>
      <c r="M13" s="7" t="s">
        <v>59</v>
      </c>
      <c r="N13" s="7" t="s">
        <v>59</v>
      </c>
      <c r="O13" s="7" t="s">
        <v>139</v>
      </c>
    </row>
    <row r="14" spans="1:15" ht="39.6" x14ac:dyDescent="0.3">
      <c r="A14" s="7" t="s">
        <v>140</v>
      </c>
      <c r="B14" s="7" t="s">
        <v>48</v>
      </c>
      <c r="C14" s="7" t="s">
        <v>49</v>
      </c>
      <c r="D14" s="7" t="s">
        <v>141</v>
      </c>
      <c r="E14" s="7" t="s">
        <v>118</v>
      </c>
      <c r="F14" s="7" t="s">
        <v>52</v>
      </c>
      <c r="G14" s="7" t="s">
        <v>142</v>
      </c>
      <c r="H14" s="7" t="s">
        <v>143</v>
      </c>
      <c r="I14" s="8" t="s">
        <v>144</v>
      </c>
      <c r="J14" s="8" t="s">
        <v>145</v>
      </c>
      <c r="K14" s="8" t="s">
        <v>146</v>
      </c>
      <c r="L14" s="8" t="s">
        <v>147</v>
      </c>
      <c r="M14" s="7" t="s">
        <v>59</v>
      </c>
      <c r="N14" s="7" t="s">
        <v>59</v>
      </c>
      <c r="O14" s="7" t="s">
        <v>148</v>
      </c>
    </row>
    <row r="15" spans="1:15" ht="39.6" x14ac:dyDescent="0.3">
      <c r="A15" s="7" t="s">
        <v>149</v>
      </c>
      <c r="B15" s="7" t="s">
        <v>48</v>
      </c>
      <c r="C15" s="7" t="s">
        <v>49</v>
      </c>
      <c r="D15" s="7" t="s">
        <v>50</v>
      </c>
      <c r="E15" s="7" t="s">
        <v>118</v>
      </c>
      <c r="F15" s="7" t="s">
        <v>52</v>
      </c>
      <c r="G15" s="7" t="s">
        <v>150</v>
      </c>
      <c r="H15" s="7" t="s">
        <v>63</v>
      </c>
      <c r="I15" s="8" t="s">
        <v>151</v>
      </c>
      <c r="J15" s="8" t="s">
        <v>152</v>
      </c>
      <c r="K15" s="8" t="s">
        <v>153</v>
      </c>
      <c r="L15" s="8" t="s">
        <v>58</v>
      </c>
      <c r="M15" s="7" t="s">
        <v>90</v>
      </c>
      <c r="N15" s="7" t="s">
        <v>59</v>
      </c>
      <c r="O15" s="7" t="s">
        <v>67</v>
      </c>
    </row>
    <row r="16" spans="1:15" ht="52.8" x14ac:dyDescent="0.3">
      <c r="A16" s="7" t="s">
        <v>154</v>
      </c>
      <c r="B16" s="7" t="s">
        <v>48</v>
      </c>
      <c r="C16" s="7" t="s">
        <v>155</v>
      </c>
      <c r="D16" s="7" t="s">
        <v>98</v>
      </c>
      <c r="E16" s="7" t="s">
        <v>118</v>
      </c>
      <c r="F16" s="7" t="s">
        <v>125</v>
      </c>
      <c r="G16" s="7" t="s">
        <v>156</v>
      </c>
      <c r="H16" s="7" t="s">
        <v>157</v>
      </c>
      <c r="I16" s="8" t="s">
        <v>158</v>
      </c>
      <c r="J16" s="8" t="s">
        <v>159</v>
      </c>
      <c r="K16" s="8" t="s">
        <v>160</v>
      </c>
      <c r="L16" s="8" t="s">
        <v>161</v>
      </c>
      <c r="M16" s="7" t="s">
        <v>59</v>
      </c>
      <c r="N16" s="7" t="s">
        <v>59</v>
      </c>
      <c r="O16" s="7" t="s">
        <v>162</v>
      </c>
    </row>
    <row r="17" spans="1:15" ht="39.6" x14ac:dyDescent="0.3">
      <c r="A17" s="7" t="s">
        <v>163</v>
      </c>
      <c r="B17" s="7" t="s">
        <v>48</v>
      </c>
      <c r="C17" s="7" t="s">
        <v>155</v>
      </c>
      <c r="D17" s="7" t="s">
        <v>98</v>
      </c>
      <c r="E17" s="7" t="s">
        <v>118</v>
      </c>
      <c r="F17" s="7" t="s">
        <v>125</v>
      </c>
      <c r="G17" s="7" t="s">
        <v>164</v>
      </c>
      <c r="H17" s="7" t="s">
        <v>165</v>
      </c>
      <c r="I17" s="8" t="s">
        <v>166</v>
      </c>
      <c r="J17" s="8" t="s">
        <v>167</v>
      </c>
      <c r="K17" s="8" t="s">
        <v>168</v>
      </c>
      <c r="L17" s="8" t="s">
        <v>169</v>
      </c>
      <c r="M17" s="7" t="s">
        <v>59</v>
      </c>
      <c r="N17" s="7" t="s">
        <v>59</v>
      </c>
      <c r="O17" s="7" t="s">
        <v>170</v>
      </c>
    </row>
    <row r="18" spans="1:15" ht="39.6" x14ac:dyDescent="0.3">
      <c r="A18" s="7" t="s">
        <v>171</v>
      </c>
      <c r="B18" s="7" t="s">
        <v>48</v>
      </c>
      <c r="C18" s="7" t="s">
        <v>155</v>
      </c>
      <c r="D18" s="7" t="s">
        <v>98</v>
      </c>
      <c r="E18" s="7" t="s">
        <v>118</v>
      </c>
      <c r="F18" s="7" t="s">
        <v>125</v>
      </c>
      <c r="G18" s="7" t="s">
        <v>172</v>
      </c>
      <c r="H18" s="7" t="s">
        <v>165</v>
      </c>
      <c r="I18" s="8" t="s">
        <v>173</v>
      </c>
      <c r="J18" s="8" t="s">
        <v>174</v>
      </c>
      <c r="K18" s="8" t="s">
        <v>175</v>
      </c>
      <c r="L18" s="8" t="s">
        <v>98</v>
      </c>
      <c r="M18" s="7" t="s">
        <v>90</v>
      </c>
      <c r="N18" s="7" t="s">
        <v>59</v>
      </c>
      <c r="O18" s="7" t="s">
        <v>170</v>
      </c>
    </row>
    <row r="19" spans="1:15" ht="52.8" x14ac:dyDescent="0.3">
      <c r="A19" s="7" t="s">
        <v>176</v>
      </c>
      <c r="B19" s="7" t="s">
        <v>48</v>
      </c>
      <c r="C19" s="7" t="s">
        <v>177</v>
      </c>
      <c r="D19" s="7" t="s">
        <v>178</v>
      </c>
      <c r="E19" s="7" t="s">
        <v>179</v>
      </c>
      <c r="F19" s="7" t="s">
        <v>125</v>
      </c>
      <c r="G19" s="7" t="s">
        <v>180</v>
      </c>
      <c r="H19" s="7" t="s">
        <v>157</v>
      </c>
      <c r="I19" s="8" t="s">
        <v>181</v>
      </c>
      <c r="J19" s="8" t="s">
        <v>182</v>
      </c>
      <c r="K19" s="8" t="s">
        <v>183</v>
      </c>
      <c r="L19" s="8" t="s">
        <v>184</v>
      </c>
      <c r="M19" s="7" t="s">
        <v>59</v>
      </c>
      <c r="N19" s="7" t="s">
        <v>59</v>
      </c>
      <c r="O19" s="7" t="s">
        <v>185</v>
      </c>
    </row>
    <row r="20" spans="1:15" ht="39.6" x14ac:dyDescent="0.3">
      <c r="A20" s="7" t="s">
        <v>186</v>
      </c>
      <c r="B20" s="7" t="s">
        <v>48</v>
      </c>
      <c r="C20" s="7" t="s">
        <v>177</v>
      </c>
      <c r="D20" s="7" t="s">
        <v>187</v>
      </c>
      <c r="E20" s="7" t="s">
        <v>179</v>
      </c>
      <c r="F20" s="7" t="s">
        <v>125</v>
      </c>
      <c r="G20" s="7" t="s">
        <v>180</v>
      </c>
      <c r="H20" s="7" t="s">
        <v>157</v>
      </c>
      <c r="I20" s="8" t="s">
        <v>188</v>
      </c>
      <c r="J20" s="8" t="s">
        <v>189</v>
      </c>
      <c r="K20" s="8" t="s">
        <v>190</v>
      </c>
      <c r="L20" s="8" t="s">
        <v>191</v>
      </c>
      <c r="M20" s="7" t="s">
        <v>90</v>
      </c>
      <c r="N20" s="7" t="s">
        <v>59</v>
      </c>
      <c r="O20" s="7" t="s">
        <v>192</v>
      </c>
    </row>
    <row r="21" spans="1:15" ht="52.8" x14ac:dyDescent="0.3">
      <c r="A21" s="7" t="s">
        <v>193</v>
      </c>
      <c r="B21" s="7" t="s">
        <v>48</v>
      </c>
      <c r="C21" s="7" t="s">
        <v>155</v>
      </c>
      <c r="D21" s="7" t="s">
        <v>178</v>
      </c>
      <c r="E21" s="7" t="s">
        <v>135</v>
      </c>
      <c r="F21" s="7" t="s">
        <v>125</v>
      </c>
      <c r="G21" s="7" t="s">
        <v>126</v>
      </c>
      <c r="H21" s="7" t="s">
        <v>165</v>
      </c>
      <c r="I21" s="8" t="s">
        <v>194</v>
      </c>
      <c r="J21" s="8" t="s">
        <v>195</v>
      </c>
      <c r="K21" s="8" t="s">
        <v>196</v>
      </c>
      <c r="L21" s="8" t="s">
        <v>191</v>
      </c>
      <c r="M21" s="7" t="s">
        <v>59</v>
      </c>
      <c r="N21" s="7" t="s">
        <v>59</v>
      </c>
      <c r="O21" s="7" t="s">
        <v>197</v>
      </c>
    </row>
    <row r="22" spans="1:15" ht="39.6" x14ac:dyDescent="0.3">
      <c r="A22" s="7" t="s">
        <v>198</v>
      </c>
      <c r="B22" s="7" t="s">
        <v>48</v>
      </c>
      <c r="C22" s="7" t="s">
        <v>155</v>
      </c>
      <c r="D22" s="7" t="s">
        <v>199</v>
      </c>
      <c r="E22" s="7" t="s">
        <v>94</v>
      </c>
      <c r="F22" s="7" t="s">
        <v>125</v>
      </c>
      <c r="G22" s="7" t="s">
        <v>200</v>
      </c>
      <c r="H22" s="7" t="s">
        <v>165</v>
      </c>
      <c r="I22" s="8" t="s">
        <v>201</v>
      </c>
      <c r="J22" s="8" t="s">
        <v>202</v>
      </c>
      <c r="K22" s="8" t="s">
        <v>203</v>
      </c>
      <c r="L22" s="8" t="s">
        <v>204</v>
      </c>
      <c r="M22" s="7" t="s">
        <v>59</v>
      </c>
      <c r="N22" s="7" t="s">
        <v>59</v>
      </c>
      <c r="O22" s="7" t="s">
        <v>205</v>
      </c>
    </row>
    <row r="23" spans="1:15" ht="39.6" x14ac:dyDescent="0.3">
      <c r="A23" s="7" t="s">
        <v>206</v>
      </c>
      <c r="B23" s="7" t="s">
        <v>48</v>
      </c>
      <c r="C23" s="7" t="s">
        <v>155</v>
      </c>
      <c r="D23" s="7" t="s">
        <v>199</v>
      </c>
      <c r="E23" s="7" t="s">
        <v>94</v>
      </c>
      <c r="F23" s="7" t="s">
        <v>125</v>
      </c>
      <c r="G23" s="7" t="s">
        <v>53</v>
      </c>
      <c r="H23" s="7" t="s">
        <v>54</v>
      </c>
      <c r="I23" s="8" t="s">
        <v>207</v>
      </c>
      <c r="J23" s="8" t="s">
        <v>208</v>
      </c>
      <c r="K23" s="8" t="s">
        <v>209</v>
      </c>
      <c r="L23" s="8" t="s">
        <v>210</v>
      </c>
      <c r="M23" s="7" t="s">
        <v>59</v>
      </c>
      <c r="N23" s="7" t="s">
        <v>90</v>
      </c>
      <c r="O23" s="7" t="s">
        <v>211</v>
      </c>
    </row>
    <row r="24" spans="1:15" ht="39.6" x14ac:dyDescent="0.3">
      <c r="A24" s="7" t="s">
        <v>212</v>
      </c>
      <c r="B24" s="7" t="s">
        <v>48</v>
      </c>
      <c r="C24" s="7" t="s">
        <v>155</v>
      </c>
      <c r="D24" s="7" t="s">
        <v>199</v>
      </c>
      <c r="E24" s="7" t="s">
        <v>94</v>
      </c>
      <c r="F24" s="7" t="s">
        <v>125</v>
      </c>
      <c r="G24" s="7" t="s">
        <v>78</v>
      </c>
      <c r="H24" s="7" t="s">
        <v>54</v>
      </c>
      <c r="I24" s="8" t="s">
        <v>213</v>
      </c>
      <c r="J24" s="8" t="s">
        <v>214</v>
      </c>
      <c r="K24" s="8" t="s">
        <v>215</v>
      </c>
      <c r="L24" s="8" t="s">
        <v>216</v>
      </c>
      <c r="M24" s="7" t="s">
        <v>90</v>
      </c>
      <c r="N24" s="7" t="s">
        <v>90</v>
      </c>
      <c r="O24" s="7" t="s">
        <v>217</v>
      </c>
    </row>
    <row r="25" spans="1:15" ht="39.6" x14ac:dyDescent="0.3">
      <c r="A25" s="7" t="s">
        <v>218</v>
      </c>
      <c r="B25" s="7" t="s">
        <v>48</v>
      </c>
      <c r="C25" s="7" t="s">
        <v>177</v>
      </c>
      <c r="D25" s="7" t="s">
        <v>219</v>
      </c>
      <c r="E25" s="7" t="s">
        <v>220</v>
      </c>
      <c r="F25" s="7" t="s">
        <v>125</v>
      </c>
      <c r="G25" s="7" t="s">
        <v>200</v>
      </c>
      <c r="H25" s="7" t="s">
        <v>104</v>
      </c>
      <c r="I25" s="8" t="s">
        <v>221</v>
      </c>
      <c r="J25" s="8" t="s">
        <v>222</v>
      </c>
      <c r="K25" s="8" t="s">
        <v>223</v>
      </c>
      <c r="L25" s="8" t="s">
        <v>224</v>
      </c>
      <c r="M25" s="7" t="s">
        <v>90</v>
      </c>
      <c r="N25" s="7" t="s">
        <v>90</v>
      </c>
      <c r="O25" s="7" t="s">
        <v>211</v>
      </c>
    </row>
    <row r="26" spans="1:15" ht="52.8" x14ac:dyDescent="0.3">
      <c r="A26" s="7" t="s">
        <v>225</v>
      </c>
      <c r="B26" s="7" t="s">
        <v>48</v>
      </c>
      <c r="C26" s="7" t="s">
        <v>155</v>
      </c>
      <c r="D26" s="7" t="s">
        <v>199</v>
      </c>
      <c r="E26" s="7" t="s">
        <v>94</v>
      </c>
      <c r="F26" s="7" t="s">
        <v>125</v>
      </c>
      <c r="G26" s="7" t="s">
        <v>200</v>
      </c>
      <c r="H26" s="7" t="s">
        <v>157</v>
      </c>
      <c r="I26" s="8" t="s">
        <v>226</v>
      </c>
      <c r="J26" s="8" t="s">
        <v>227</v>
      </c>
      <c r="K26" s="8" t="s">
        <v>228</v>
      </c>
      <c r="L26" s="8" t="s">
        <v>229</v>
      </c>
      <c r="M26" s="7" t="s">
        <v>90</v>
      </c>
      <c r="N26" s="7" t="s">
        <v>90</v>
      </c>
      <c r="O26" s="7" t="s">
        <v>230</v>
      </c>
    </row>
    <row r="27" spans="1:15" ht="52.8" x14ac:dyDescent="0.3">
      <c r="A27" s="7" t="s">
        <v>231</v>
      </c>
      <c r="B27" s="7" t="s">
        <v>48</v>
      </c>
      <c r="C27" s="7" t="s">
        <v>155</v>
      </c>
      <c r="D27" s="7" t="s">
        <v>232</v>
      </c>
      <c r="E27" s="7" t="s">
        <v>233</v>
      </c>
      <c r="F27" s="7" t="s">
        <v>234</v>
      </c>
      <c r="G27" s="7" t="s">
        <v>156</v>
      </c>
      <c r="H27" s="7" t="s">
        <v>165</v>
      </c>
      <c r="I27" s="8" t="s">
        <v>235</v>
      </c>
      <c r="J27" s="8" t="s">
        <v>236</v>
      </c>
      <c r="K27" s="8" t="s">
        <v>237</v>
      </c>
      <c r="L27" s="8" t="s">
        <v>238</v>
      </c>
      <c r="M27" s="7" t="s">
        <v>90</v>
      </c>
      <c r="N27" s="7" t="s">
        <v>59</v>
      </c>
      <c r="O27" s="7" t="s">
        <v>239</v>
      </c>
    </row>
    <row r="28" spans="1:15" ht="39.6" x14ac:dyDescent="0.3">
      <c r="A28" s="7" t="s">
        <v>240</v>
      </c>
      <c r="B28" s="7" t="s">
        <v>48</v>
      </c>
      <c r="C28" s="7" t="s">
        <v>155</v>
      </c>
      <c r="D28" s="7" t="s">
        <v>232</v>
      </c>
      <c r="E28" s="7" t="s">
        <v>241</v>
      </c>
      <c r="F28" s="7" t="s">
        <v>52</v>
      </c>
      <c r="G28" s="7" t="s">
        <v>172</v>
      </c>
      <c r="H28" s="7" t="s">
        <v>165</v>
      </c>
      <c r="I28" s="8" t="s">
        <v>242</v>
      </c>
      <c r="J28" s="8" t="s">
        <v>243</v>
      </c>
      <c r="K28" s="8" t="s">
        <v>244</v>
      </c>
      <c r="L28" s="8" t="s">
        <v>232</v>
      </c>
      <c r="M28" s="7" t="s">
        <v>90</v>
      </c>
      <c r="N28" s="7" t="s">
        <v>59</v>
      </c>
      <c r="O28" s="7" t="s">
        <v>245</v>
      </c>
    </row>
    <row r="29" spans="1:15" ht="52.8" x14ac:dyDescent="0.3">
      <c r="A29" s="7" t="s">
        <v>246</v>
      </c>
      <c r="B29" s="7" t="s">
        <v>48</v>
      </c>
      <c r="C29" s="7" t="s">
        <v>155</v>
      </c>
      <c r="D29" s="7" t="s">
        <v>232</v>
      </c>
      <c r="E29" s="7" t="s">
        <v>94</v>
      </c>
      <c r="F29" s="7" t="s">
        <v>247</v>
      </c>
      <c r="G29" s="7" t="s">
        <v>200</v>
      </c>
      <c r="H29" s="7" t="s">
        <v>165</v>
      </c>
      <c r="I29" s="8" t="s">
        <v>248</v>
      </c>
      <c r="J29" s="8" t="s">
        <v>249</v>
      </c>
      <c r="K29" s="8" t="s">
        <v>250</v>
      </c>
      <c r="L29" s="8" t="s">
        <v>232</v>
      </c>
      <c r="M29" s="7" t="s">
        <v>59</v>
      </c>
      <c r="N29" s="7" t="s">
        <v>90</v>
      </c>
      <c r="O29" s="7" t="s">
        <v>251</v>
      </c>
    </row>
    <row r="30" spans="1:15" ht="39.6" x14ac:dyDescent="0.3">
      <c r="A30" s="7" t="s">
        <v>252</v>
      </c>
      <c r="B30" s="7" t="s">
        <v>48</v>
      </c>
      <c r="C30" s="7" t="s">
        <v>177</v>
      </c>
      <c r="D30" s="7" t="s">
        <v>253</v>
      </c>
      <c r="E30" s="7" t="s">
        <v>118</v>
      </c>
      <c r="F30" s="7" t="s">
        <v>52</v>
      </c>
      <c r="G30" s="7" t="s">
        <v>111</v>
      </c>
      <c r="H30" s="7" t="s">
        <v>104</v>
      </c>
      <c r="I30" s="8" t="s">
        <v>254</v>
      </c>
      <c r="J30" s="8" t="s">
        <v>255</v>
      </c>
      <c r="K30" s="8" t="s">
        <v>256</v>
      </c>
      <c r="L30" s="8" t="s">
        <v>115</v>
      </c>
      <c r="M30" s="7" t="s">
        <v>59</v>
      </c>
      <c r="N30" s="7" t="s">
        <v>59</v>
      </c>
      <c r="O30" s="7" t="s">
        <v>82</v>
      </c>
    </row>
    <row r="31" spans="1:15" ht="52.8" x14ac:dyDescent="0.3">
      <c r="A31" s="7" t="s">
        <v>257</v>
      </c>
      <c r="B31" s="7" t="s">
        <v>48</v>
      </c>
      <c r="C31" s="7" t="s">
        <v>49</v>
      </c>
      <c r="D31" s="7" t="s">
        <v>101</v>
      </c>
      <c r="E31" s="7" t="s">
        <v>102</v>
      </c>
      <c r="F31" s="7" t="s">
        <v>52</v>
      </c>
      <c r="G31" s="7" t="s">
        <v>103</v>
      </c>
      <c r="H31" s="7" t="s">
        <v>63</v>
      </c>
      <c r="I31" s="8" t="s">
        <v>258</v>
      </c>
      <c r="J31" s="8" t="s">
        <v>259</v>
      </c>
      <c r="K31" s="8" t="s">
        <v>260</v>
      </c>
      <c r="L31" s="8" t="s">
        <v>58</v>
      </c>
      <c r="M31" s="7" t="s">
        <v>90</v>
      </c>
      <c r="N31" s="7" t="s">
        <v>59</v>
      </c>
      <c r="O31" s="7" t="s">
        <v>109</v>
      </c>
    </row>
    <row r="32" spans="1:15" ht="52.8" x14ac:dyDescent="0.3">
      <c r="A32" s="7" t="s">
        <v>261</v>
      </c>
      <c r="B32" s="7" t="s">
        <v>48</v>
      </c>
      <c r="C32" s="7" t="s">
        <v>49</v>
      </c>
      <c r="D32" s="7" t="s">
        <v>262</v>
      </c>
      <c r="E32" s="7" t="s">
        <v>51</v>
      </c>
      <c r="F32" s="7" t="s">
        <v>125</v>
      </c>
      <c r="G32" s="7" t="s">
        <v>142</v>
      </c>
      <c r="H32" s="7" t="s">
        <v>104</v>
      </c>
      <c r="I32" s="8" t="s">
        <v>263</v>
      </c>
      <c r="J32" s="8" t="s">
        <v>264</v>
      </c>
      <c r="K32" s="8" t="s">
        <v>265</v>
      </c>
      <c r="L32" s="8" t="s">
        <v>58</v>
      </c>
      <c r="M32" s="7" t="s">
        <v>90</v>
      </c>
      <c r="N32" s="7" t="s">
        <v>90</v>
      </c>
      <c r="O32" s="7" t="s">
        <v>266</v>
      </c>
    </row>
    <row r="33" spans="1:15" ht="26.4" x14ac:dyDescent="0.3">
      <c r="A33" s="7" t="s">
        <v>267</v>
      </c>
      <c r="B33" s="7" t="s">
        <v>48</v>
      </c>
      <c r="C33" s="7" t="s">
        <v>177</v>
      </c>
      <c r="D33" s="7" t="s">
        <v>268</v>
      </c>
      <c r="E33" s="7" t="s">
        <v>269</v>
      </c>
      <c r="F33" s="7" t="s">
        <v>125</v>
      </c>
      <c r="G33" s="7" t="s">
        <v>126</v>
      </c>
      <c r="H33" s="7" t="s">
        <v>104</v>
      </c>
      <c r="I33" s="8" t="s">
        <v>270</v>
      </c>
      <c r="J33" s="8" t="s">
        <v>271</v>
      </c>
      <c r="K33" s="8" t="s">
        <v>272</v>
      </c>
      <c r="L33" s="8" t="s">
        <v>98</v>
      </c>
      <c r="M33" s="7" t="s">
        <v>90</v>
      </c>
      <c r="N33" s="7" t="s">
        <v>90</v>
      </c>
      <c r="O33" s="7" t="s">
        <v>273</v>
      </c>
    </row>
    <row r="34" spans="1:15" ht="39.6" x14ac:dyDescent="0.3">
      <c r="A34" s="7" t="s">
        <v>274</v>
      </c>
      <c r="B34" s="7" t="s">
        <v>48</v>
      </c>
      <c r="C34" s="7" t="s">
        <v>49</v>
      </c>
      <c r="D34" s="7" t="s">
        <v>275</v>
      </c>
      <c r="E34" s="7" t="s">
        <v>118</v>
      </c>
      <c r="F34" s="7" t="s">
        <v>52</v>
      </c>
      <c r="G34" s="7" t="s">
        <v>53</v>
      </c>
      <c r="H34" s="7" t="s">
        <v>54</v>
      </c>
      <c r="I34" s="8" t="s">
        <v>276</v>
      </c>
      <c r="J34" s="8" t="s">
        <v>277</v>
      </c>
      <c r="K34" s="8" t="s">
        <v>278</v>
      </c>
      <c r="L34" s="8" t="s">
        <v>58</v>
      </c>
      <c r="M34" s="7" t="s">
        <v>90</v>
      </c>
      <c r="N34" s="7" t="s">
        <v>59</v>
      </c>
      <c r="O34" s="7" t="s">
        <v>67</v>
      </c>
    </row>
    <row r="35" spans="1:15" ht="52.8" x14ac:dyDescent="0.3">
      <c r="A35" s="7" t="s">
        <v>279</v>
      </c>
      <c r="B35" s="7" t="s">
        <v>48</v>
      </c>
      <c r="C35" s="7" t="s">
        <v>177</v>
      </c>
      <c r="D35" s="7" t="s">
        <v>280</v>
      </c>
      <c r="E35" s="7" t="s">
        <v>118</v>
      </c>
      <c r="F35" s="7" t="s">
        <v>52</v>
      </c>
      <c r="G35" s="7" t="s">
        <v>142</v>
      </c>
      <c r="H35" s="7" t="s">
        <v>104</v>
      </c>
      <c r="I35" s="8" t="s">
        <v>281</v>
      </c>
      <c r="J35" s="8" t="s">
        <v>282</v>
      </c>
      <c r="K35" s="8" t="s">
        <v>283</v>
      </c>
      <c r="L35" s="8" t="s">
        <v>147</v>
      </c>
      <c r="M35" s="7" t="s">
        <v>90</v>
      </c>
      <c r="N35" s="7" t="s">
        <v>90</v>
      </c>
      <c r="O35" s="7" t="s">
        <v>148</v>
      </c>
    </row>
    <row r="36" spans="1:15" ht="39.6" x14ac:dyDescent="0.3">
      <c r="A36" s="7" t="s">
        <v>284</v>
      </c>
      <c r="B36" s="7" t="s">
        <v>48</v>
      </c>
      <c r="C36" s="7" t="s">
        <v>49</v>
      </c>
      <c r="D36" s="7" t="s">
        <v>285</v>
      </c>
      <c r="E36" s="7" t="s">
        <v>135</v>
      </c>
      <c r="F36" s="7" t="s">
        <v>52</v>
      </c>
      <c r="G36" s="7" t="s">
        <v>126</v>
      </c>
      <c r="H36" s="7" t="s">
        <v>104</v>
      </c>
      <c r="I36" s="8" t="s">
        <v>286</v>
      </c>
      <c r="J36" s="8" t="s">
        <v>287</v>
      </c>
      <c r="K36" s="8" t="s">
        <v>288</v>
      </c>
      <c r="L36" s="8" t="s">
        <v>224</v>
      </c>
      <c r="M36" s="7" t="s">
        <v>90</v>
      </c>
      <c r="N36" s="7" t="s">
        <v>90</v>
      </c>
      <c r="O36" s="7" t="s">
        <v>289</v>
      </c>
    </row>
  </sheetData>
  <autoFilter ref="A1:O3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zoomScaleNormal="100" workbookViewId="0">
      <pane ySplit="1" topLeftCell="A2" activePane="bottomLeft" state="frozen"/>
      <selection pane="bottomLeft" activeCell="A55" sqref="A55"/>
    </sheetView>
  </sheetViews>
  <sheetFormatPr defaultColWidth="8.6640625" defaultRowHeight="14.4" x14ac:dyDescent="0.3"/>
  <cols>
    <col min="1" max="1" width="30" customWidth="1"/>
    <col min="2" max="2" width="20" customWidth="1"/>
    <col min="3" max="3" width="15" customWidth="1"/>
  </cols>
  <sheetData>
    <row r="1" spans="1:3" x14ac:dyDescent="0.3">
      <c r="A1" s="6" t="s">
        <v>25</v>
      </c>
      <c r="B1" s="6" t="s">
        <v>23</v>
      </c>
      <c r="C1" s="6" t="s">
        <v>290</v>
      </c>
    </row>
    <row r="2" spans="1:3" x14ac:dyDescent="0.3">
      <c r="A2" s="7" t="s">
        <v>53</v>
      </c>
      <c r="B2" s="7" t="s">
        <v>49</v>
      </c>
      <c r="C2" s="7">
        <f>COUNTIFS(Findings_Log!$G$2:$G$36,$A2,Findings_Log!$C$2:$C$36,$B2)</f>
        <v>5</v>
      </c>
    </row>
    <row r="3" spans="1:3" x14ac:dyDescent="0.3">
      <c r="A3" s="7" t="s">
        <v>53</v>
      </c>
      <c r="B3" s="7" t="s">
        <v>84</v>
      </c>
      <c r="C3" s="7">
        <f>COUNTIFS(Findings_Log!$G$2:$G$36,$A3,Findings_Log!$C$2:$C$36,$B3)</f>
        <v>1</v>
      </c>
    </row>
    <row r="4" spans="1:3" x14ac:dyDescent="0.3">
      <c r="A4" s="7" t="s">
        <v>53</v>
      </c>
      <c r="B4" s="7" t="s">
        <v>177</v>
      </c>
      <c r="C4" s="7">
        <f>COUNTIFS(Findings_Log!$G$2:$G$36,$A4,Findings_Log!$C$2:$C$36,$B4)</f>
        <v>0</v>
      </c>
    </row>
    <row r="5" spans="1:3" x14ac:dyDescent="0.3">
      <c r="A5" s="7" t="s">
        <v>53</v>
      </c>
      <c r="B5" s="7" t="s">
        <v>155</v>
      </c>
      <c r="C5" s="7">
        <f>COUNTIFS(Findings_Log!$G$2:$G$36,$A5,Findings_Log!$C$2:$C$36,$B5)</f>
        <v>1</v>
      </c>
    </row>
    <row r="6" spans="1:3" x14ac:dyDescent="0.3">
      <c r="A6" s="7" t="s">
        <v>103</v>
      </c>
      <c r="B6" s="7" t="s">
        <v>49</v>
      </c>
      <c r="C6" s="7">
        <f>COUNTIFS(Findings_Log!$G$2:$G$36,$A6,Findings_Log!$C$2:$C$36,$B6)</f>
        <v>2</v>
      </c>
    </row>
    <row r="7" spans="1:3" x14ac:dyDescent="0.3">
      <c r="A7" s="7" t="s">
        <v>103</v>
      </c>
      <c r="B7" s="7" t="s">
        <v>84</v>
      </c>
      <c r="C7" s="7">
        <f>COUNTIFS(Findings_Log!$G$2:$G$36,$A7,Findings_Log!$C$2:$C$36,$B7)</f>
        <v>0</v>
      </c>
    </row>
    <row r="8" spans="1:3" x14ac:dyDescent="0.3">
      <c r="A8" s="7" t="s">
        <v>103</v>
      </c>
      <c r="B8" s="7" t="s">
        <v>177</v>
      </c>
      <c r="C8" s="7">
        <f>COUNTIFS(Findings_Log!$G$2:$G$36,$A8,Findings_Log!$C$2:$C$36,$B8)</f>
        <v>0</v>
      </c>
    </row>
    <row r="9" spans="1:3" x14ac:dyDescent="0.3">
      <c r="A9" s="7" t="s">
        <v>103</v>
      </c>
      <c r="B9" s="7" t="s">
        <v>155</v>
      </c>
      <c r="C9" s="7">
        <f>COUNTIFS(Findings_Log!$G$2:$G$36,$A9,Findings_Log!$C$2:$C$36,$B9)</f>
        <v>0</v>
      </c>
    </row>
    <row r="10" spans="1:3" x14ac:dyDescent="0.3">
      <c r="A10" s="7" t="s">
        <v>111</v>
      </c>
      <c r="B10" s="7" t="s">
        <v>49</v>
      </c>
      <c r="C10" s="7">
        <f>COUNTIFS(Findings_Log!$G$2:$G$36,$A10,Findings_Log!$C$2:$C$36,$B10)</f>
        <v>1</v>
      </c>
    </row>
    <row r="11" spans="1:3" x14ac:dyDescent="0.3">
      <c r="A11" s="7" t="s">
        <v>111</v>
      </c>
      <c r="B11" s="7" t="s">
        <v>84</v>
      </c>
      <c r="C11" s="7">
        <f>COUNTIFS(Findings_Log!$G$2:$G$36,$A11,Findings_Log!$C$2:$C$36,$B11)</f>
        <v>0</v>
      </c>
    </row>
    <row r="12" spans="1:3" x14ac:dyDescent="0.3">
      <c r="A12" s="7" t="s">
        <v>111</v>
      </c>
      <c r="B12" s="7" t="s">
        <v>177</v>
      </c>
      <c r="C12" s="7">
        <f>COUNTIFS(Findings_Log!$G$2:$G$36,$A12,Findings_Log!$C$2:$C$36,$B12)</f>
        <v>1</v>
      </c>
    </row>
    <row r="13" spans="1:3" x14ac:dyDescent="0.3">
      <c r="A13" s="7" t="s">
        <v>111</v>
      </c>
      <c r="B13" s="7" t="s">
        <v>155</v>
      </c>
      <c r="C13" s="7">
        <f>COUNTIFS(Findings_Log!$G$2:$G$36,$A13,Findings_Log!$C$2:$C$36,$B13)</f>
        <v>0</v>
      </c>
    </row>
    <row r="14" spans="1:3" x14ac:dyDescent="0.3">
      <c r="A14" s="7" t="s">
        <v>78</v>
      </c>
      <c r="B14" s="7" t="s">
        <v>49</v>
      </c>
      <c r="C14" s="7">
        <f>COUNTIFS(Findings_Log!$G$2:$G$36,$A14,Findings_Log!$C$2:$C$36,$B14)</f>
        <v>1</v>
      </c>
    </row>
    <row r="15" spans="1:3" x14ac:dyDescent="0.3">
      <c r="A15" s="7" t="s">
        <v>78</v>
      </c>
      <c r="B15" s="7" t="s">
        <v>84</v>
      </c>
      <c r="C15" s="7">
        <f>COUNTIFS(Findings_Log!$G$2:$G$36,$A15,Findings_Log!$C$2:$C$36,$B15)</f>
        <v>0</v>
      </c>
    </row>
    <row r="16" spans="1:3" x14ac:dyDescent="0.3">
      <c r="A16" s="7" t="s">
        <v>78</v>
      </c>
      <c r="B16" s="7" t="s">
        <v>177</v>
      </c>
      <c r="C16" s="7">
        <f>COUNTIFS(Findings_Log!$G$2:$G$36,$A16,Findings_Log!$C$2:$C$36,$B16)</f>
        <v>0</v>
      </c>
    </row>
    <row r="17" spans="1:3" x14ac:dyDescent="0.3">
      <c r="A17" s="7" t="s">
        <v>78</v>
      </c>
      <c r="B17" s="7" t="s">
        <v>155</v>
      </c>
      <c r="C17" s="7">
        <f>COUNTIFS(Findings_Log!$G$2:$G$36,$A17,Findings_Log!$C$2:$C$36,$B17)</f>
        <v>1</v>
      </c>
    </row>
    <row r="18" spans="1:3" x14ac:dyDescent="0.3">
      <c r="A18" s="7" t="s">
        <v>164</v>
      </c>
      <c r="B18" s="7" t="s">
        <v>49</v>
      </c>
      <c r="C18" s="7">
        <f>COUNTIFS(Findings_Log!$G$2:$G$36,$A18,Findings_Log!$C$2:$C$36,$B18)</f>
        <v>0</v>
      </c>
    </row>
    <row r="19" spans="1:3" x14ac:dyDescent="0.3">
      <c r="A19" s="7" t="s">
        <v>164</v>
      </c>
      <c r="B19" s="7" t="s">
        <v>84</v>
      </c>
      <c r="C19" s="7">
        <f>COUNTIFS(Findings_Log!$G$2:$G$36,$A19,Findings_Log!$C$2:$C$36,$B19)</f>
        <v>0</v>
      </c>
    </row>
    <row r="20" spans="1:3" x14ac:dyDescent="0.3">
      <c r="A20" s="7" t="s">
        <v>164</v>
      </c>
      <c r="B20" s="7" t="s">
        <v>177</v>
      </c>
      <c r="C20" s="7">
        <f>COUNTIFS(Findings_Log!$G$2:$G$36,$A20,Findings_Log!$C$2:$C$36,$B20)</f>
        <v>0</v>
      </c>
    </row>
    <row r="21" spans="1:3" x14ac:dyDescent="0.3">
      <c r="A21" s="7" t="s">
        <v>164</v>
      </c>
      <c r="B21" s="7" t="s">
        <v>155</v>
      </c>
      <c r="C21" s="7">
        <f>COUNTIFS(Findings_Log!$G$2:$G$36,$A21,Findings_Log!$C$2:$C$36,$B21)</f>
        <v>1</v>
      </c>
    </row>
    <row r="22" spans="1:3" x14ac:dyDescent="0.3">
      <c r="A22" s="7" t="s">
        <v>126</v>
      </c>
      <c r="B22" s="7" t="s">
        <v>49</v>
      </c>
      <c r="C22" s="7">
        <f>COUNTIFS(Findings_Log!$G$2:$G$36,$A22,Findings_Log!$C$2:$C$36,$B22)</f>
        <v>4</v>
      </c>
    </row>
    <row r="23" spans="1:3" x14ac:dyDescent="0.3">
      <c r="A23" s="7" t="s">
        <v>126</v>
      </c>
      <c r="B23" s="7" t="s">
        <v>84</v>
      </c>
      <c r="C23" s="7">
        <f>COUNTIFS(Findings_Log!$G$2:$G$36,$A23,Findings_Log!$C$2:$C$36,$B23)</f>
        <v>0</v>
      </c>
    </row>
    <row r="24" spans="1:3" x14ac:dyDescent="0.3">
      <c r="A24" s="7" t="s">
        <v>126</v>
      </c>
      <c r="B24" s="7" t="s">
        <v>177</v>
      </c>
      <c r="C24" s="7">
        <f>COUNTIFS(Findings_Log!$G$2:$G$36,$A24,Findings_Log!$C$2:$C$36,$B24)</f>
        <v>1</v>
      </c>
    </row>
    <row r="25" spans="1:3" x14ac:dyDescent="0.3">
      <c r="A25" s="7" t="s">
        <v>126</v>
      </c>
      <c r="B25" s="7" t="s">
        <v>155</v>
      </c>
      <c r="C25" s="7">
        <f>COUNTIFS(Findings_Log!$G$2:$G$36,$A25,Findings_Log!$C$2:$C$36,$B25)</f>
        <v>1</v>
      </c>
    </row>
    <row r="26" spans="1:3" x14ac:dyDescent="0.3">
      <c r="A26" s="7" t="s">
        <v>200</v>
      </c>
      <c r="B26" s="7" t="s">
        <v>49</v>
      </c>
      <c r="C26" s="7">
        <f>COUNTIFS(Findings_Log!$G$2:$G$36,$A26,Findings_Log!$C$2:$C$36,$B26)</f>
        <v>0</v>
      </c>
    </row>
    <row r="27" spans="1:3" x14ac:dyDescent="0.3">
      <c r="A27" s="7" t="s">
        <v>200</v>
      </c>
      <c r="B27" s="7" t="s">
        <v>84</v>
      </c>
      <c r="C27" s="7">
        <f>COUNTIFS(Findings_Log!$G$2:$G$36,$A27,Findings_Log!$C$2:$C$36,$B27)</f>
        <v>0</v>
      </c>
    </row>
    <row r="28" spans="1:3" x14ac:dyDescent="0.3">
      <c r="A28" s="7" t="s">
        <v>200</v>
      </c>
      <c r="B28" s="7" t="s">
        <v>177</v>
      </c>
      <c r="C28" s="7">
        <f>COUNTIFS(Findings_Log!$G$2:$G$36,$A28,Findings_Log!$C$2:$C$36,$B28)</f>
        <v>1</v>
      </c>
    </row>
    <row r="29" spans="1:3" x14ac:dyDescent="0.3">
      <c r="A29" s="7" t="s">
        <v>200</v>
      </c>
      <c r="B29" s="7" t="s">
        <v>155</v>
      </c>
      <c r="C29" s="7">
        <f>COUNTIFS(Findings_Log!$G$2:$G$36,$A29,Findings_Log!$C$2:$C$36,$B29)</f>
        <v>3</v>
      </c>
    </row>
    <row r="30" spans="1:3" x14ac:dyDescent="0.3">
      <c r="A30" s="7" t="s">
        <v>119</v>
      </c>
      <c r="B30" s="7" t="s">
        <v>49</v>
      </c>
      <c r="C30" s="7">
        <f>COUNTIFS(Findings_Log!$G$2:$G$36,$A30,Findings_Log!$C$2:$C$36,$B30)</f>
        <v>1</v>
      </c>
    </row>
    <row r="31" spans="1:3" x14ac:dyDescent="0.3">
      <c r="A31" s="7" t="s">
        <v>119</v>
      </c>
      <c r="B31" s="7" t="s">
        <v>84</v>
      </c>
      <c r="C31" s="7">
        <f>COUNTIFS(Findings_Log!$G$2:$G$36,$A31,Findings_Log!$C$2:$C$36,$B31)</f>
        <v>0</v>
      </c>
    </row>
    <row r="32" spans="1:3" x14ac:dyDescent="0.3">
      <c r="A32" s="7" t="s">
        <v>119</v>
      </c>
      <c r="B32" s="7" t="s">
        <v>177</v>
      </c>
      <c r="C32" s="7">
        <f>COUNTIFS(Findings_Log!$G$2:$G$36,$A32,Findings_Log!$C$2:$C$36,$B32)</f>
        <v>0</v>
      </c>
    </row>
    <row r="33" spans="1:3" x14ac:dyDescent="0.3">
      <c r="A33" s="7" t="s">
        <v>119</v>
      </c>
      <c r="B33" s="7" t="s">
        <v>155</v>
      </c>
      <c r="C33" s="7">
        <f>COUNTIFS(Findings_Log!$G$2:$G$36,$A33,Findings_Log!$C$2:$C$36,$B33)</f>
        <v>0</v>
      </c>
    </row>
    <row r="34" spans="1:3" x14ac:dyDescent="0.3">
      <c r="A34" s="7" t="s">
        <v>172</v>
      </c>
      <c r="B34" s="7" t="s">
        <v>49</v>
      </c>
      <c r="C34" s="7">
        <f>COUNTIFS(Findings_Log!$G$2:$G$36,$A34,Findings_Log!$C$2:$C$36,$B34)</f>
        <v>0</v>
      </c>
    </row>
    <row r="35" spans="1:3" x14ac:dyDescent="0.3">
      <c r="A35" s="7" t="s">
        <v>172</v>
      </c>
      <c r="B35" s="7" t="s">
        <v>84</v>
      </c>
      <c r="C35" s="7">
        <f>COUNTIFS(Findings_Log!$G$2:$G$36,$A35,Findings_Log!$C$2:$C$36,$B35)</f>
        <v>0</v>
      </c>
    </row>
    <row r="36" spans="1:3" x14ac:dyDescent="0.3">
      <c r="A36" s="7" t="s">
        <v>172</v>
      </c>
      <c r="B36" s="7" t="s">
        <v>177</v>
      </c>
      <c r="C36" s="7">
        <f>COUNTIFS(Findings_Log!$G$2:$G$36,$A36,Findings_Log!$C$2:$C$36,$B36)</f>
        <v>0</v>
      </c>
    </row>
    <row r="37" spans="1:3" x14ac:dyDescent="0.3">
      <c r="A37" s="7" t="s">
        <v>172</v>
      </c>
      <c r="B37" s="7" t="s">
        <v>155</v>
      </c>
      <c r="C37" s="7">
        <f>COUNTIFS(Findings_Log!$G$2:$G$36,$A37,Findings_Log!$C$2:$C$36,$B37)</f>
        <v>2</v>
      </c>
    </row>
    <row r="38" spans="1:3" x14ac:dyDescent="0.3">
      <c r="A38" s="7" t="s">
        <v>150</v>
      </c>
      <c r="B38" s="7" t="s">
        <v>49</v>
      </c>
      <c r="C38" s="7">
        <f>COUNTIFS(Findings_Log!$G$2:$G$36,$A38,Findings_Log!$C$2:$C$36,$B38)</f>
        <v>1</v>
      </c>
    </row>
    <row r="39" spans="1:3" x14ac:dyDescent="0.3">
      <c r="A39" s="7" t="s">
        <v>150</v>
      </c>
      <c r="B39" s="7" t="s">
        <v>84</v>
      </c>
      <c r="C39" s="7">
        <f>COUNTIFS(Findings_Log!$G$2:$G$36,$A39,Findings_Log!$C$2:$C$36,$B39)</f>
        <v>0</v>
      </c>
    </row>
    <row r="40" spans="1:3" x14ac:dyDescent="0.3">
      <c r="A40" s="7" t="s">
        <v>150</v>
      </c>
      <c r="B40" s="7" t="s">
        <v>177</v>
      </c>
      <c r="C40" s="7">
        <f>COUNTIFS(Findings_Log!$G$2:$G$36,$A40,Findings_Log!$C$2:$C$36,$B40)</f>
        <v>0</v>
      </c>
    </row>
    <row r="41" spans="1:3" x14ac:dyDescent="0.3">
      <c r="A41" s="7" t="s">
        <v>150</v>
      </c>
      <c r="B41" s="7" t="s">
        <v>155</v>
      </c>
      <c r="C41" s="7">
        <f>COUNTIFS(Findings_Log!$G$2:$G$36,$A41,Findings_Log!$C$2:$C$36,$B41)</f>
        <v>0</v>
      </c>
    </row>
    <row r="42" spans="1:3" x14ac:dyDescent="0.3">
      <c r="A42" s="7" t="s">
        <v>142</v>
      </c>
      <c r="B42" s="7" t="s">
        <v>49</v>
      </c>
      <c r="C42" s="7">
        <f>COUNTIFS(Findings_Log!$G$2:$G$36,$A42,Findings_Log!$C$2:$C$36,$B42)</f>
        <v>2</v>
      </c>
    </row>
    <row r="43" spans="1:3" x14ac:dyDescent="0.3">
      <c r="A43" s="7" t="s">
        <v>142</v>
      </c>
      <c r="B43" s="7" t="s">
        <v>84</v>
      </c>
      <c r="C43" s="7">
        <f>COUNTIFS(Findings_Log!$G$2:$G$36,$A43,Findings_Log!$C$2:$C$36,$B43)</f>
        <v>0</v>
      </c>
    </row>
    <row r="44" spans="1:3" x14ac:dyDescent="0.3">
      <c r="A44" s="7" t="s">
        <v>142</v>
      </c>
      <c r="B44" s="7" t="s">
        <v>177</v>
      </c>
      <c r="C44" s="7">
        <f>COUNTIFS(Findings_Log!$G$2:$G$36,$A44,Findings_Log!$C$2:$C$36,$B44)</f>
        <v>1</v>
      </c>
    </row>
    <row r="45" spans="1:3" x14ac:dyDescent="0.3">
      <c r="A45" s="7" t="s">
        <v>142</v>
      </c>
      <c r="B45" s="7" t="s">
        <v>155</v>
      </c>
      <c r="C45" s="7">
        <f>COUNTIFS(Findings_Log!$G$2:$G$36,$A45,Findings_Log!$C$2:$C$36,$B45)</f>
        <v>0</v>
      </c>
    </row>
    <row r="46" spans="1:3" x14ac:dyDescent="0.3">
      <c r="A46" s="7" t="s">
        <v>180</v>
      </c>
      <c r="B46" s="7" t="s">
        <v>49</v>
      </c>
      <c r="C46" s="7">
        <f>COUNTIFS(Findings_Log!$G$2:$G$36,$A46,Findings_Log!$C$2:$C$36,$B46)</f>
        <v>0</v>
      </c>
    </row>
    <row r="47" spans="1:3" x14ac:dyDescent="0.3">
      <c r="A47" s="7" t="s">
        <v>180</v>
      </c>
      <c r="B47" s="7" t="s">
        <v>84</v>
      </c>
      <c r="C47" s="7">
        <f>COUNTIFS(Findings_Log!$G$2:$G$36,$A47,Findings_Log!$C$2:$C$36,$B47)</f>
        <v>0</v>
      </c>
    </row>
    <row r="48" spans="1:3" x14ac:dyDescent="0.3">
      <c r="A48" s="7" t="s">
        <v>180</v>
      </c>
      <c r="B48" s="7" t="s">
        <v>177</v>
      </c>
      <c r="C48" s="7">
        <f>COUNTIFS(Findings_Log!$G$2:$G$36,$A48,Findings_Log!$C$2:$C$36,$B48)</f>
        <v>2</v>
      </c>
    </row>
    <row r="49" spans="1:3" x14ac:dyDescent="0.3">
      <c r="A49" s="7" t="s">
        <v>180</v>
      </c>
      <c r="B49" s="7" t="s">
        <v>155</v>
      </c>
      <c r="C49" s="7">
        <f>COUNTIFS(Findings_Log!$G$2:$G$36,$A49,Findings_Log!$C$2:$C$36,$B49)</f>
        <v>0</v>
      </c>
    </row>
    <row r="50" spans="1:3" x14ac:dyDescent="0.3">
      <c r="A50" s="7" t="s">
        <v>156</v>
      </c>
      <c r="B50" s="7" t="s">
        <v>49</v>
      </c>
      <c r="C50" s="7">
        <f>COUNTIFS(Findings_Log!$G$2:$G$36,$A50,Findings_Log!$C$2:$C$36,$B50)</f>
        <v>0</v>
      </c>
    </row>
    <row r="51" spans="1:3" x14ac:dyDescent="0.3">
      <c r="A51" s="7" t="s">
        <v>156</v>
      </c>
      <c r="B51" s="7" t="s">
        <v>84</v>
      </c>
      <c r="C51" s="7">
        <f>COUNTIFS(Findings_Log!$G$2:$G$36,$A51,Findings_Log!$C$2:$C$36,$B51)</f>
        <v>0</v>
      </c>
    </row>
    <row r="52" spans="1:3" x14ac:dyDescent="0.3">
      <c r="A52" s="7" t="s">
        <v>156</v>
      </c>
      <c r="B52" s="7" t="s">
        <v>177</v>
      </c>
      <c r="C52" s="7">
        <f>COUNTIFS(Findings_Log!$G$2:$G$36,$A52,Findings_Log!$C$2:$C$36,$B52)</f>
        <v>0</v>
      </c>
    </row>
    <row r="53" spans="1:3" x14ac:dyDescent="0.3">
      <c r="A53" s="7" t="s">
        <v>156</v>
      </c>
      <c r="B53" s="7" t="s">
        <v>155</v>
      </c>
      <c r="C53" s="7">
        <f>COUNTIFS(Findings_Log!$G$2:$G$36,$A53,Findings_Log!$C$2:$C$36,$B53)</f>
        <v>2</v>
      </c>
    </row>
    <row r="55" spans="1:3" x14ac:dyDescent="0.3">
      <c r="A5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tabSelected="1" zoomScaleNormal="100" workbookViewId="0">
      <pane ySplit="1" topLeftCell="A2" activePane="bottomLeft" state="frozen"/>
      <selection pane="bottomLeft" activeCell="A23" sqref="A23"/>
    </sheetView>
  </sheetViews>
  <sheetFormatPr defaultColWidth="8.6640625" defaultRowHeight="14.4" x14ac:dyDescent="0.3"/>
  <cols>
    <col min="1" max="1" width="22" customWidth="1"/>
    <col min="2" max="2" width="16" customWidth="1"/>
    <col min="3" max="3" width="22" customWidth="1"/>
    <col min="4" max="4" width="16" customWidth="1"/>
  </cols>
  <sheetData>
    <row r="1" spans="1:4" x14ac:dyDescent="0.3">
      <c r="A1" s="6" t="s">
        <v>291</v>
      </c>
      <c r="B1" s="6" t="s">
        <v>292</v>
      </c>
      <c r="C1" s="6" t="s">
        <v>293</v>
      </c>
      <c r="D1" s="6" t="s">
        <v>294</v>
      </c>
    </row>
    <row r="2" spans="1:4" x14ac:dyDescent="0.3">
      <c r="A2" s="7" t="s">
        <v>295</v>
      </c>
      <c r="B2" s="7" t="s">
        <v>296</v>
      </c>
      <c r="C2" s="7">
        <f>COUNTIF(Findings_Log!$K$2:$K$36,"*"&amp;A2&amp;"*")+COUNTIF(Findings_Log!$I$2:$I$36,"*"&amp;A2&amp;"*")</f>
        <v>9</v>
      </c>
      <c r="D2" s="7" t="s">
        <v>297</v>
      </c>
    </row>
    <row r="3" spans="1:4" x14ac:dyDescent="0.3">
      <c r="A3" s="7" t="s">
        <v>298</v>
      </c>
      <c r="B3" s="7" t="s">
        <v>299</v>
      </c>
      <c r="C3" s="7">
        <f>COUNTIF(Findings_Log!$K$2:$K$36,"*"&amp;A3&amp;"*")+COUNTIF(Findings_Log!$I$2:$I$36,"*"&amp;A3&amp;"*")</f>
        <v>1</v>
      </c>
      <c r="D3" s="7" t="s">
        <v>297</v>
      </c>
    </row>
    <row r="4" spans="1:4" x14ac:dyDescent="0.3">
      <c r="A4" s="7" t="s">
        <v>300</v>
      </c>
      <c r="B4" s="7" t="s">
        <v>301</v>
      </c>
      <c r="C4" s="7">
        <f>COUNTIF(Findings_Log!$K$2:$K$36,"*"&amp;A4&amp;"*")+COUNTIF(Findings_Log!$I$2:$I$36,"*"&amp;A4&amp;"*")</f>
        <v>12</v>
      </c>
      <c r="D4" s="7" t="s">
        <v>297</v>
      </c>
    </row>
    <row r="5" spans="1:4" x14ac:dyDescent="0.3">
      <c r="A5" s="7" t="s">
        <v>302</v>
      </c>
      <c r="B5" s="7" t="s">
        <v>301</v>
      </c>
      <c r="C5" s="7">
        <f>COUNTIF(Findings_Log!$K$2:$K$36,"*"&amp;A5&amp;"*")+COUNTIF(Findings_Log!$I$2:$I$36,"*"&amp;A5&amp;"*")</f>
        <v>8</v>
      </c>
      <c r="D5" s="7" t="s">
        <v>297</v>
      </c>
    </row>
    <row r="6" spans="1:4" x14ac:dyDescent="0.3">
      <c r="A6" s="7" t="s">
        <v>303</v>
      </c>
      <c r="B6" s="7" t="s">
        <v>301</v>
      </c>
      <c r="C6" s="7">
        <f>COUNTIF(Findings_Log!$K$2:$K$36,"*"&amp;A6&amp;"*")+COUNTIF(Findings_Log!$I$2:$I$36,"*"&amp;A6&amp;"*")</f>
        <v>5</v>
      </c>
      <c r="D6" s="7" t="s">
        <v>304</v>
      </c>
    </row>
    <row r="7" spans="1:4" x14ac:dyDescent="0.3">
      <c r="A7" s="7" t="s">
        <v>305</v>
      </c>
      <c r="B7" s="7" t="s">
        <v>299</v>
      </c>
      <c r="C7" s="7">
        <f>COUNTIF(Findings_Log!$K$2:$K$36,"*"&amp;A7&amp;"*")+COUNTIF(Findings_Log!$I$2:$I$36,"*"&amp;A7&amp;"*")</f>
        <v>6</v>
      </c>
      <c r="D7" s="7" t="s">
        <v>297</v>
      </c>
    </row>
    <row r="8" spans="1:4" x14ac:dyDescent="0.3">
      <c r="A8" s="7" t="s">
        <v>306</v>
      </c>
      <c r="B8" s="7" t="s">
        <v>299</v>
      </c>
      <c r="C8" s="7">
        <f>COUNTIF(Findings_Log!$K$2:$K$36,"*"&amp;A8&amp;"*")+COUNTIF(Findings_Log!$I$2:$I$36,"*"&amp;A8&amp;"*")</f>
        <v>8</v>
      </c>
      <c r="D8" s="7" t="s">
        <v>304</v>
      </c>
    </row>
    <row r="9" spans="1:4" x14ac:dyDescent="0.3">
      <c r="A9" s="7" t="s">
        <v>307</v>
      </c>
      <c r="B9" s="7" t="s">
        <v>308</v>
      </c>
      <c r="C9" s="7">
        <f>COUNTIF(Findings_Log!$K$2:$K$36,"*"&amp;A9&amp;"*")+COUNTIF(Findings_Log!$I$2:$I$36,"*"&amp;A9&amp;"*")</f>
        <v>2</v>
      </c>
      <c r="D9" s="7" t="s">
        <v>297</v>
      </c>
    </row>
    <row r="10" spans="1:4" x14ac:dyDescent="0.3">
      <c r="A10" s="7" t="s">
        <v>309</v>
      </c>
      <c r="B10" s="7" t="s">
        <v>310</v>
      </c>
      <c r="C10" s="7">
        <f>COUNTIF(Findings_Log!$K$2:$K$36,"*"&amp;A10&amp;"*")+COUNTIF(Findings_Log!$I$2:$I$36,"*"&amp;A10&amp;"*")</f>
        <v>3</v>
      </c>
      <c r="D10" s="7" t="s">
        <v>297</v>
      </c>
    </row>
    <row r="11" spans="1:4" x14ac:dyDescent="0.3">
      <c r="A11" s="7" t="s">
        <v>311</v>
      </c>
      <c r="B11" s="7" t="s">
        <v>310</v>
      </c>
      <c r="C11" s="7">
        <f>COUNTIF(Findings_Log!$K$2:$K$36,"*"&amp;A11&amp;"*")+COUNTIF(Findings_Log!$I$2:$I$36,"*"&amp;A11&amp;"*")</f>
        <v>4</v>
      </c>
      <c r="D11" s="7" t="s">
        <v>304</v>
      </c>
    </row>
    <row r="12" spans="1:4" x14ac:dyDescent="0.3">
      <c r="A12" s="7" t="s">
        <v>312</v>
      </c>
      <c r="B12" s="7" t="s">
        <v>313</v>
      </c>
      <c r="C12" s="7">
        <f>COUNTIF(Findings_Log!$K$2:$K$36,"*"&amp;A12&amp;"*")+COUNTIF(Findings_Log!$I$2:$I$36,"*"&amp;A12&amp;"*")</f>
        <v>2</v>
      </c>
      <c r="D12" s="7" t="s">
        <v>304</v>
      </c>
    </row>
    <row r="13" spans="1:4" x14ac:dyDescent="0.3">
      <c r="A13" s="7" t="s">
        <v>314</v>
      </c>
      <c r="B13" s="7" t="s">
        <v>301</v>
      </c>
      <c r="C13" s="7">
        <f>COUNTIF(Findings_Log!$K$2:$K$36,"*"&amp;A13&amp;"*")+COUNTIF(Findings_Log!$I$2:$I$36,"*"&amp;A13&amp;"*")</f>
        <v>4</v>
      </c>
      <c r="D13" s="7" t="s">
        <v>304</v>
      </c>
    </row>
    <row r="14" spans="1:4" x14ac:dyDescent="0.3">
      <c r="A14" s="7" t="s">
        <v>315</v>
      </c>
      <c r="B14" s="7" t="s">
        <v>316</v>
      </c>
      <c r="C14" s="7">
        <f>COUNTIF(Findings_Log!$K$2:$K$36,"*"&amp;A14&amp;"*")+COUNTIF(Findings_Log!$I$2:$I$36,"*"&amp;A14&amp;"*")</f>
        <v>1</v>
      </c>
      <c r="D14" s="7" t="s">
        <v>317</v>
      </c>
    </row>
    <row r="15" spans="1:4" x14ac:dyDescent="0.3">
      <c r="A15" s="7" t="s">
        <v>318</v>
      </c>
      <c r="B15" s="7" t="s">
        <v>319</v>
      </c>
      <c r="C15" s="7">
        <f>COUNTIF(Findings_Log!$K$2:$K$36,"*"&amp;A15&amp;"*")+COUNTIF(Findings_Log!$I$2:$I$36,"*"&amp;A15&amp;"*")</f>
        <v>2</v>
      </c>
      <c r="D15" s="7" t="s">
        <v>297</v>
      </c>
    </row>
    <row r="16" spans="1:4" x14ac:dyDescent="0.3">
      <c r="A16" s="7" t="s">
        <v>320</v>
      </c>
      <c r="B16" s="7" t="s">
        <v>301</v>
      </c>
      <c r="C16" s="7">
        <f>COUNTIF(Findings_Log!$K$2:$K$36,"*"&amp;A16&amp;"*")+COUNTIF(Findings_Log!$I$2:$I$36,"*"&amp;A16&amp;"*")</f>
        <v>3</v>
      </c>
      <c r="D16" s="7" t="s">
        <v>317</v>
      </c>
    </row>
    <row r="17" spans="1:4" x14ac:dyDescent="0.3">
      <c r="A17" s="7" t="s">
        <v>321</v>
      </c>
      <c r="B17" s="7" t="s">
        <v>310</v>
      </c>
      <c r="C17" s="7">
        <f>COUNTIF(Findings_Log!$K$2:$K$36,"*"&amp;A17&amp;"*")+COUNTIF(Findings_Log!$I$2:$I$36,"*"&amp;A17&amp;"*")</f>
        <v>3</v>
      </c>
      <c r="D17" s="7" t="s">
        <v>317</v>
      </c>
    </row>
    <row r="18" spans="1:4" x14ac:dyDescent="0.3">
      <c r="A18" s="7" t="s">
        <v>322</v>
      </c>
      <c r="B18" s="7" t="s">
        <v>296</v>
      </c>
      <c r="C18" s="7">
        <f>COUNTIF(Findings_Log!$K$2:$K$36,"*"&amp;A18&amp;"*")+COUNTIF(Findings_Log!$I$2:$I$36,"*"&amp;A18&amp;"*")</f>
        <v>12</v>
      </c>
      <c r="D18" s="7" t="s">
        <v>297</v>
      </c>
    </row>
    <row r="19" spans="1:4" x14ac:dyDescent="0.3">
      <c r="A19" s="7" t="s">
        <v>323</v>
      </c>
      <c r="B19" s="7" t="s">
        <v>296</v>
      </c>
      <c r="C19" s="7">
        <f>COUNTIF(Findings_Log!$K$2:$K$36,"*"&amp;A19&amp;"*")+COUNTIF(Findings_Log!$I$2:$I$36,"*"&amp;A19&amp;"*")</f>
        <v>8</v>
      </c>
      <c r="D19" s="7" t="s">
        <v>297</v>
      </c>
    </row>
    <row r="20" spans="1:4" x14ac:dyDescent="0.3">
      <c r="A20" s="7" t="s">
        <v>324</v>
      </c>
      <c r="B20" s="7" t="s">
        <v>313</v>
      </c>
      <c r="C20" s="7">
        <f>COUNTIF(Findings_Log!$K$2:$K$36,"*"&amp;A20&amp;"*")+COUNTIF(Findings_Log!$I$2:$I$36,"*"&amp;A20&amp;"*")</f>
        <v>3</v>
      </c>
      <c r="D20" s="7" t="s">
        <v>304</v>
      </c>
    </row>
    <row r="21" spans="1:4" x14ac:dyDescent="0.3">
      <c r="A21" s="7" t="s">
        <v>325</v>
      </c>
      <c r="B21" s="7" t="s">
        <v>326</v>
      </c>
      <c r="C21" s="7">
        <f>COUNTIF(Findings_Log!$K$2:$K$36,"*"&amp;A21&amp;"*")+COUNTIF(Findings_Log!$I$2:$I$36,"*"&amp;A21&amp;"*")</f>
        <v>4</v>
      </c>
      <c r="D21" s="7" t="s">
        <v>317</v>
      </c>
    </row>
    <row r="23" spans="1:4" x14ac:dyDescent="0.3">
      <c r="A23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zoomScaleNormal="100" workbookViewId="0">
      <pane ySplit="1" topLeftCell="A2" activePane="bottomLeft" state="frozen"/>
      <selection pane="bottomLeft" activeCell="A17" sqref="A17"/>
    </sheetView>
  </sheetViews>
  <sheetFormatPr defaultColWidth="8.6640625" defaultRowHeight="14.4" x14ac:dyDescent="0.3"/>
  <cols>
    <col min="1" max="1" width="22" customWidth="1"/>
    <col min="2" max="2" width="24" customWidth="1"/>
    <col min="3" max="3" width="18" customWidth="1"/>
    <col min="4" max="4" width="62" customWidth="1"/>
    <col min="5" max="5" width="16" customWidth="1"/>
  </cols>
  <sheetData>
    <row r="1" spans="1:5" ht="26.4" x14ac:dyDescent="0.3">
      <c r="A1" s="6" t="s">
        <v>326</v>
      </c>
      <c r="B1" s="6" t="s">
        <v>292</v>
      </c>
      <c r="C1" s="6" t="s">
        <v>293</v>
      </c>
      <c r="D1" s="6" t="s">
        <v>327</v>
      </c>
      <c r="E1" s="6" t="s">
        <v>328</v>
      </c>
    </row>
    <row r="2" spans="1:5" ht="26.4" x14ac:dyDescent="0.3">
      <c r="A2" s="7" t="s">
        <v>98</v>
      </c>
      <c r="B2" s="7" t="s">
        <v>329</v>
      </c>
      <c r="C2" s="7">
        <f>COUNTIF(Findings_Log!$L$2:$L$36,"*"&amp;A2&amp;"*")</f>
        <v>8</v>
      </c>
      <c r="D2" s="8" t="s">
        <v>330</v>
      </c>
      <c r="E2" s="7" t="s">
        <v>331</v>
      </c>
    </row>
    <row r="3" spans="1:5" ht="26.4" x14ac:dyDescent="0.3">
      <c r="A3" s="7" t="s">
        <v>191</v>
      </c>
      <c r="B3" s="7" t="s">
        <v>329</v>
      </c>
      <c r="C3" s="7">
        <f>COUNTIF(Findings_Log!$L$2:$L$36,"*"&amp;A3&amp;"*")</f>
        <v>3</v>
      </c>
      <c r="D3" s="8" t="s">
        <v>332</v>
      </c>
      <c r="E3" s="7" t="s">
        <v>331</v>
      </c>
    </row>
    <row r="4" spans="1:5" ht="26.4" x14ac:dyDescent="0.3">
      <c r="A4" s="7" t="s">
        <v>333</v>
      </c>
      <c r="B4" s="7" t="s">
        <v>329</v>
      </c>
      <c r="C4" s="7">
        <f>COUNTIF(Findings_Log!$L$2:$L$36,"*"&amp;A4&amp;"*")</f>
        <v>5</v>
      </c>
      <c r="D4" s="8" t="s">
        <v>334</v>
      </c>
      <c r="E4" s="7" t="s">
        <v>331</v>
      </c>
    </row>
    <row r="5" spans="1:5" ht="26.4" x14ac:dyDescent="0.3">
      <c r="A5" s="7" t="s">
        <v>335</v>
      </c>
      <c r="B5" s="7" t="s">
        <v>329</v>
      </c>
      <c r="C5" s="7">
        <f>COUNTIF(Findings_Log!$L$2:$L$36,"*"&amp;A5&amp;"*")</f>
        <v>1</v>
      </c>
      <c r="D5" s="8" t="s">
        <v>336</v>
      </c>
      <c r="E5" s="7" t="s">
        <v>331</v>
      </c>
    </row>
    <row r="6" spans="1:5" ht="26.4" x14ac:dyDescent="0.3">
      <c r="A6" s="7" t="s">
        <v>115</v>
      </c>
      <c r="B6" s="7" t="s">
        <v>337</v>
      </c>
      <c r="C6" s="7">
        <f>COUNTIF(Findings_Log!$L$2:$L$36,"*"&amp;A6&amp;"*")</f>
        <v>6</v>
      </c>
      <c r="D6" s="8" t="s">
        <v>338</v>
      </c>
      <c r="E6" s="7" t="s">
        <v>331</v>
      </c>
    </row>
    <row r="7" spans="1:5" ht="26.4" x14ac:dyDescent="0.3">
      <c r="A7" s="7" t="s">
        <v>224</v>
      </c>
      <c r="B7" s="7" t="s">
        <v>339</v>
      </c>
      <c r="C7" s="7">
        <f>COUNTIF(Findings_Log!$L$2:$L$36,"*"&amp;A7&amp;"*")</f>
        <v>6</v>
      </c>
      <c r="D7" s="8" t="s">
        <v>340</v>
      </c>
      <c r="E7" s="7" t="s">
        <v>341</v>
      </c>
    </row>
    <row r="8" spans="1:5" ht="26.4" x14ac:dyDescent="0.3">
      <c r="A8" s="7" t="s">
        <v>342</v>
      </c>
      <c r="B8" s="7" t="s">
        <v>339</v>
      </c>
      <c r="C8" s="7">
        <f>COUNTIF(Findings_Log!$L$2:$L$36,"*"&amp;A8&amp;"*")</f>
        <v>0</v>
      </c>
      <c r="D8" s="8" t="s">
        <v>343</v>
      </c>
      <c r="E8" s="7" t="s">
        <v>341</v>
      </c>
    </row>
    <row r="9" spans="1:5" ht="26.4" x14ac:dyDescent="0.3">
      <c r="A9" s="7" t="s">
        <v>344</v>
      </c>
      <c r="B9" s="7" t="s">
        <v>339</v>
      </c>
      <c r="C9" s="7">
        <f>COUNTIF(Findings_Log!$L$2:$L$36,"*"&amp;A9&amp;"*")</f>
        <v>0</v>
      </c>
      <c r="D9" s="8" t="s">
        <v>345</v>
      </c>
      <c r="E9" s="7" t="s">
        <v>341</v>
      </c>
    </row>
    <row r="10" spans="1:5" ht="26.4" x14ac:dyDescent="0.3">
      <c r="A10" s="7" t="s">
        <v>346</v>
      </c>
      <c r="B10" s="7" t="s">
        <v>339</v>
      </c>
      <c r="C10" s="7">
        <f>COUNTIF(Findings_Log!$L$2:$L$36,"*"&amp;A10&amp;"*")</f>
        <v>0</v>
      </c>
      <c r="D10" s="8" t="s">
        <v>347</v>
      </c>
      <c r="E10" s="7" t="s">
        <v>341</v>
      </c>
    </row>
    <row r="11" spans="1:5" x14ac:dyDescent="0.3">
      <c r="A11" s="7" t="s">
        <v>348</v>
      </c>
      <c r="B11" s="7" t="s">
        <v>339</v>
      </c>
      <c r="C11" s="7">
        <f>COUNTIF(Findings_Log!$L$2:$L$36,"*"&amp;A11&amp;"*")</f>
        <v>0</v>
      </c>
      <c r="D11" s="8" t="s">
        <v>349</v>
      </c>
      <c r="E11" s="7" t="s">
        <v>341</v>
      </c>
    </row>
    <row r="12" spans="1:5" ht="26.4" x14ac:dyDescent="0.3">
      <c r="A12" s="7" t="s">
        <v>350</v>
      </c>
      <c r="B12" s="7" t="s">
        <v>351</v>
      </c>
      <c r="C12" s="7">
        <f>COUNTIF(Findings_Log!$L$2:$L$36,"*"&amp;A12&amp;"*")</f>
        <v>0</v>
      </c>
      <c r="D12" s="8" t="s">
        <v>352</v>
      </c>
      <c r="E12" s="7" t="s">
        <v>331</v>
      </c>
    </row>
    <row r="13" spans="1:5" ht="26.4" x14ac:dyDescent="0.3">
      <c r="A13" s="7" t="s">
        <v>232</v>
      </c>
      <c r="B13" s="7" t="s">
        <v>353</v>
      </c>
      <c r="C13" s="7">
        <f>COUNTIF(Findings_Log!$L$2:$L$36,"*"&amp;A13&amp;"*")</f>
        <v>3</v>
      </c>
      <c r="D13" s="8" t="s">
        <v>354</v>
      </c>
      <c r="E13" s="7" t="s">
        <v>355</v>
      </c>
    </row>
    <row r="14" spans="1:5" ht="26.4" x14ac:dyDescent="0.3">
      <c r="A14" s="7" t="s">
        <v>356</v>
      </c>
      <c r="B14" s="7" t="s">
        <v>357</v>
      </c>
      <c r="C14" s="7">
        <f>COUNTIF(Findings_Log!$L$2:$L$36,"*"&amp;A14&amp;"*")</f>
        <v>2</v>
      </c>
      <c r="D14" s="8" t="s">
        <v>358</v>
      </c>
      <c r="E14" s="7" t="s">
        <v>359</v>
      </c>
    </row>
    <row r="15" spans="1:5" x14ac:dyDescent="0.3">
      <c r="A15" s="7" t="s">
        <v>360</v>
      </c>
      <c r="B15" s="7" t="s">
        <v>357</v>
      </c>
      <c r="C15" s="7">
        <f>COUNTIF(Findings_Log!$L$2:$L$36,"*"&amp;A15&amp;"*")</f>
        <v>2</v>
      </c>
      <c r="D15" s="8" t="s">
        <v>361</v>
      </c>
      <c r="E15" s="7" t="s">
        <v>359</v>
      </c>
    </row>
    <row r="17" spans="1:1" x14ac:dyDescent="0.3">
      <c r="A17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zoomScaleNormal="100" workbookViewId="0">
      <pane ySplit="1" topLeftCell="A2" activePane="bottomLeft" state="frozen"/>
      <selection pane="bottomLeft" activeCell="D2" sqref="D2"/>
    </sheetView>
  </sheetViews>
  <sheetFormatPr defaultColWidth="8.6640625" defaultRowHeight="14.4" x14ac:dyDescent="0.3"/>
  <cols>
    <col min="1" max="1" width="22" customWidth="1"/>
    <col min="2" max="2" width="52" customWidth="1"/>
    <col min="3" max="3" width="14" customWidth="1"/>
    <col min="4" max="4" width="18" customWidth="1"/>
    <col min="5" max="5" width="50" customWidth="1"/>
  </cols>
  <sheetData>
    <row r="1" spans="1:5" x14ac:dyDescent="0.3">
      <c r="A1" s="6" t="s">
        <v>362</v>
      </c>
      <c r="B1" s="6" t="s">
        <v>63</v>
      </c>
      <c r="C1" s="6" t="s">
        <v>363</v>
      </c>
      <c r="D1" s="6" t="s">
        <v>364</v>
      </c>
      <c r="E1" s="6" t="s">
        <v>365</v>
      </c>
    </row>
    <row r="2" spans="1:5" ht="26.4" x14ac:dyDescent="0.3">
      <c r="A2" s="7" t="s">
        <v>50</v>
      </c>
      <c r="B2" s="8" t="s">
        <v>366</v>
      </c>
      <c r="C2" s="7" t="s">
        <v>367</v>
      </c>
      <c r="D2" s="7" t="s">
        <v>368</v>
      </c>
      <c r="E2" s="8" t="s">
        <v>369</v>
      </c>
    </row>
    <row r="3" spans="1:5" ht="26.4" x14ac:dyDescent="0.3">
      <c r="A3" s="7" t="s">
        <v>50</v>
      </c>
      <c r="B3" s="8" t="s">
        <v>370</v>
      </c>
      <c r="C3" s="7" t="s">
        <v>371</v>
      </c>
      <c r="D3" s="7" t="s">
        <v>372</v>
      </c>
      <c r="E3" s="8" t="s">
        <v>373</v>
      </c>
    </row>
    <row r="4" spans="1:5" x14ac:dyDescent="0.3">
      <c r="A4" s="7" t="s">
        <v>69</v>
      </c>
      <c r="B4" s="8" t="s">
        <v>374</v>
      </c>
      <c r="C4" s="7" t="s">
        <v>375</v>
      </c>
      <c r="D4" s="7" t="s">
        <v>376</v>
      </c>
      <c r="E4" s="8" t="s">
        <v>377</v>
      </c>
    </row>
    <row r="5" spans="1:5" ht="26.4" x14ac:dyDescent="0.3">
      <c r="A5" s="7" t="s">
        <v>117</v>
      </c>
      <c r="B5" s="8" t="s">
        <v>378</v>
      </c>
      <c r="C5" s="7" t="s">
        <v>367</v>
      </c>
      <c r="D5" s="7" t="s">
        <v>379</v>
      </c>
      <c r="E5" s="8" t="s">
        <v>380</v>
      </c>
    </row>
    <row r="6" spans="1:5" ht="26.4" x14ac:dyDescent="0.3">
      <c r="A6" s="7" t="s">
        <v>381</v>
      </c>
      <c r="B6" s="8" t="s">
        <v>382</v>
      </c>
      <c r="C6" s="7" t="s">
        <v>367</v>
      </c>
      <c r="D6" s="7" t="s">
        <v>383</v>
      </c>
      <c r="E6" s="8" t="s">
        <v>384</v>
      </c>
    </row>
    <row r="7" spans="1:5" ht="26.4" x14ac:dyDescent="0.3">
      <c r="A7" s="7" t="s">
        <v>385</v>
      </c>
      <c r="B7" s="8" t="s">
        <v>386</v>
      </c>
      <c r="C7" s="7" t="s">
        <v>367</v>
      </c>
      <c r="D7" s="7" t="s">
        <v>387</v>
      </c>
      <c r="E7" s="8" t="s">
        <v>388</v>
      </c>
    </row>
    <row r="8" spans="1:5" ht="26.4" x14ac:dyDescent="0.3">
      <c r="A8" s="7" t="s">
        <v>50</v>
      </c>
      <c r="B8" s="8" t="s">
        <v>389</v>
      </c>
      <c r="C8" s="7" t="s">
        <v>390</v>
      </c>
      <c r="D8" s="7" t="s">
        <v>391</v>
      </c>
      <c r="E8" s="8" t="s">
        <v>392</v>
      </c>
    </row>
    <row r="9" spans="1:5" ht="26.4" x14ac:dyDescent="0.3">
      <c r="A9" s="7" t="s">
        <v>69</v>
      </c>
      <c r="B9" s="8" t="s">
        <v>393</v>
      </c>
      <c r="C9" s="7" t="s">
        <v>394</v>
      </c>
      <c r="D9" s="7" t="s">
        <v>395</v>
      </c>
      <c r="E9" s="8" t="s">
        <v>396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32" customWidth="1"/>
    <col min="3" max="3" width="46" customWidth="1"/>
    <col min="4" max="4" width="30" customWidth="1"/>
    <col min="5" max="5" width="44" customWidth="1"/>
  </cols>
  <sheetData>
    <row r="1" spans="1:5" x14ac:dyDescent="0.3">
      <c r="A1" s="6" t="s">
        <v>397</v>
      </c>
      <c r="B1" s="6" t="s">
        <v>398</v>
      </c>
      <c r="C1" s="6" t="s">
        <v>399</v>
      </c>
      <c r="D1" s="6" t="s">
        <v>400</v>
      </c>
      <c r="E1" s="6" t="s">
        <v>401</v>
      </c>
    </row>
    <row r="2" spans="1:5" ht="26.4" x14ac:dyDescent="0.3">
      <c r="A2" s="7">
        <v>1</v>
      </c>
      <c r="B2" s="8" t="s">
        <v>402</v>
      </c>
      <c r="C2" s="8" t="s">
        <v>403</v>
      </c>
      <c r="D2" s="8" t="s">
        <v>404</v>
      </c>
      <c r="E2" s="8" t="s">
        <v>405</v>
      </c>
    </row>
    <row r="3" spans="1:5" ht="26.4" x14ac:dyDescent="0.3">
      <c r="A3" s="7">
        <v>2</v>
      </c>
      <c r="B3" s="8" t="s">
        <v>406</v>
      </c>
      <c r="C3" s="8" t="s">
        <v>407</v>
      </c>
      <c r="D3" s="8" t="s">
        <v>408</v>
      </c>
      <c r="E3" s="8" t="s">
        <v>409</v>
      </c>
    </row>
    <row r="4" spans="1:5" ht="26.4" x14ac:dyDescent="0.3">
      <c r="A4" s="7">
        <v>3</v>
      </c>
      <c r="B4" s="8" t="s">
        <v>410</v>
      </c>
      <c r="C4" s="8" t="s">
        <v>411</v>
      </c>
      <c r="D4" s="8" t="s">
        <v>412</v>
      </c>
      <c r="E4" s="8" t="s">
        <v>413</v>
      </c>
    </row>
    <row r="5" spans="1:5" ht="26.4" x14ac:dyDescent="0.3">
      <c r="A5" s="7">
        <v>4</v>
      </c>
      <c r="B5" s="8" t="s">
        <v>414</v>
      </c>
      <c r="C5" s="8" t="s">
        <v>415</v>
      </c>
      <c r="D5" s="8" t="s">
        <v>416</v>
      </c>
      <c r="E5" s="8" t="s">
        <v>417</v>
      </c>
    </row>
    <row r="6" spans="1:5" ht="26.4" x14ac:dyDescent="0.3">
      <c r="A6" s="7">
        <v>5</v>
      </c>
      <c r="B6" s="8" t="s">
        <v>418</v>
      </c>
      <c r="C6" s="8" t="s">
        <v>419</v>
      </c>
      <c r="D6" s="8" t="s">
        <v>420</v>
      </c>
      <c r="E6" s="8" t="s">
        <v>421</v>
      </c>
    </row>
    <row r="7" spans="1:5" ht="26.4" x14ac:dyDescent="0.3">
      <c r="A7" s="7">
        <v>6</v>
      </c>
      <c r="B7" s="8" t="s">
        <v>422</v>
      </c>
      <c r="C7" s="8" t="s">
        <v>423</v>
      </c>
      <c r="D7" s="8" t="s">
        <v>424</v>
      </c>
      <c r="E7" s="8" t="s">
        <v>425</v>
      </c>
    </row>
    <row r="8" spans="1:5" ht="26.4" x14ac:dyDescent="0.3">
      <c r="A8" s="7">
        <v>7</v>
      </c>
      <c r="B8" s="8" t="s">
        <v>426</v>
      </c>
      <c r="C8" s="8" t="s">
        <v>427</v>
      </c>
      <c r="D8" s="8" t="s">
        <v>428</v>
      </c>
      <c r="E8" s="8" t="s">
        <v>429</v>
      </c>
    </row>
    <row r="9" spans="1:5" ht="26.4" x14ac:dyDescent="0.3">
      <c r="A9" s="7">
        <v>8</v>
      </c>
      <c r="B9" s="8" t="s">
        <v>430</v>
      </c>
      <c r="C9" s="8" t="s">
        <v>431</v>
      </c>
      <c r="D9" s="8" t="s">
        <v>432</v>
      </c>
      <c r="E9" s="8" t="s">
        <v>433</v>
      </c>
    </row>
    <row r="10" spans="1:5" ht="26.4" x14ac:dyDescent="0.3">
      <c r="A10" s="7">
        <v>9</v>
      </c>
      <c r="B10" s="8" t="s">
        <v>434</v>
      </c>
      <c r="C10" s="8" t="s">
        <v>435</v>
      </c>
      <c r="D10" s="8" t="s">
        <v>436</v>
      </c>
      <c r="E10" s="8" t="s">
        <v>437</v>
      </c>
    </row>
    <row r="11" spans="1:5" ht="26.4" x14ac:dyDescent="0.3">
      <c r="A11" s="7">
        <v>10</v>
      </c>
      <c r="B11" s="8" t="s">
        <v>438</v>
      </c>
      <c r="C11" s="8" t="s">
        <v>439</v>
      </c>
      <c r="D11" s="8" t="s">
        <v>50</v>
      </c>
      <c r="E11" s="8" t="s">
        <v>440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Findings_Log</vt:lpstr>
      <vt:lpstr>Topic_Source_Heatmap</vt:lpstr>
      <vt:lpstr>Keyword_Frequency</vt:lpstr>
      <vt:lpstr>Vendor_Mentions</vt:lpstr>
      <vt:lpstr>Analyst_Predictions</vt:lpstr>
      <vt:lpstr>Top10_Trends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Nair, Akhil</cp:lastModifiedBy>
  <cp:revision>0</cp:revision>
  <dcterms:created xsi:type="dcterms:W3CDTF">2026-06-10T15:44:51Z</dcterms:created>
  <dcterms:modified xsi:type="dcterms:W3CDTF">2026-06-11T19:00:18Z</dcterms:modified>
  <dc:language>en-US</dc:language>
</cp:coreProperties>
</file>